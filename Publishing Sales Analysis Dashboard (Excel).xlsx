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66925"/>
  <mc:AlternateContent xmlns:mc="http://schemas.openxmlformats.org/markup-compatibility/2006">
    <mc:Choice Requires="x15">
      <x15ac:absPath xmlns:x15ac="http://schemas.microsoft.com/office/spreadsheetml/2010/11/ac" url="/Users/shubhamkhapra/Desktop/PREL/"/>
    </mc:Choice>
  </mc:AlternateContent>
  <xr:revisionPtr revIDLastSave="0" documentId="8_{F766B802-873C-6947-ACCA-469548E99E18}" xr6:coauthVersionLast="47" xr6:coauthVersionMax="47" xr10:uidLastSave="{00000000-0000-0000-0000-000000000000}"/>
  <bookViews>
    <workbookView xWindow="0" yWindow="500" windowWidth="28800" windowHeight="16020" activeTab="1" xr2:uid="{00000000-000D-0000-FFFF-FFFF00000000}"/>
  </bookViews>
  <sheets>
    <sheet name="Books Subtotal" sheetId="2" r:id="rId1"/>
    <sheet name="PivotTable" sheetId="7" r:id="rId2"/>
    <sheet name="Books Data" sheetId="1" r:id="rId3"/>
    <sheet name="Books" sheetId="4" r:id="rId4"/>
    <sheet name="Disciplines" sheetId="5" r:id="rId5"/>
    <sheet name="Editors" sheetId="6" r:id="rId6"/>
  </sheets>
  <externalReferences>
    <externalReference r:id="rId7"/>
  </externalReferences>
  <definedNames>
    <definedName name="RetailRate" localSheetId="0">'Books Subtotal'!$J$1</definedName>
    <definedName name="RetailRate" localSheetId="4">[1]Books!$K$1</definedName>
    <definedName name="RetailRate" localSheetId="5">[1]Books!$K$1</definedName>
    <definedName name="RetailRate">'Books Data'!$J$1</definedName>
    <definedName name="RoyaltyRate" localSheetId="0">'Books Subtotal'!$J$2</definedName>
    <definedName name="RoyaltyRate">'Books Data'!$J$2</definedName>
    <definedName name="Slicer_Discipline">#N/A</definedName>
  </definedNames>
  <calcPr calcId="191029"/>
  <pivotCaches>
    <pivotCache cacheId="5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2" l="1"/>
  <c r="H20" i="2"/>
  <c r="H11" i="2"/>
  <c r="J36" i="1"/>
  <c r="K36" i="1" s="1"/>
  <c r="H36" i="1"/>
  <c r="J35" i="1"/>
  <c r="K35" i="1" s="1"/>
  <c r="H35" i="1"/>
  <c r="J34" i="1"/>
  <c r="K34" i="1" s="1"/>
  <c r="H34" i="1"/>
  <c r="J33" i="1"/>
  <c r="K33" i="1" s="1"/>
  <c r="H33" i="1"/>
  <c r="J32" i="1"/>
  <c r="K32" i="1" s="1"/>
  <c r="H32" i="1"/>
  <c r="J31" i="1"/>
  <c r="K31" i="1" s="1"/>
  <c r="H31" i="1"/>
  <c r="J30" i="1"/>
  <c r="K30" i="1" s="1"/>
  <c r="H30" i="1"/>
  <c r="J29" i="1"/>
  <c r="K29" i="1" s="1"/>
  <c r="H29" i="1"/>
  <c r="J28" i="1"/>
  <c r="K28" i="1" s="1"/>
  <c r="H28" i="1"/>
  <c r="J27" i="1"/>
  <c r="K27" i="1" s="1"/>
  <c r="H27" i="1"/>
  <c r="J26" i="1"/>
  <c r="K26" i="1" s="1"/>
  <c r="H26" i="1"/>
  <c r="J25" i="1"/>
  <c r="K25" i="1" s="1"/>
  <c r="H25" i="1"/>
  <c r="J24" i="1"/>
  <c r="K24" i="1" s="1"/>
  <c r="H24" i="1"/>
  <c r="J23" i="1"/>
  <c r="K23" i="1" s="1"/>
  <c r="H23" i="1"/>
  <c r="J22" i="1"/>
  <c r="K22" i="1" s="1"/>
  <c r="H22" i="1"/>
  <c r="J21" i="1"/>
  <c r="K21" i="1" s="1"/>
  <c r="H21" i="1"/>
  <c r="J20" i="1"/>
  <c r="K20" i="1" s="1"/>
  <c r="H20" i="1"/>
  <c r="J19" i="1"/>
  <c r="K19" i="1" s="1"/>
  <c r="H19" i="1"/>
  <c r="J18" i="1"/>
  <c r="K18" i="1" s="1"/>
  <c r="H18" i="1"/>
  <c r="J17" i="1"/>
  <c r="K17" i="1" s="1"/>
  <c r="H17" i="1"/>
  <c r="J16" i="1"/>
  <c r="K16" i="1" s="1"/>
  <c r="H16" i="1"/>
  <c r="J15" i="1"/>
  <c r="K15" i="1" s="1"/>
  <c r="H15" i="1"/>
  <c r="J14" i="1"/>
  <c r="K14" i="1" s="1"/>
  <c r="H14" i="1"/>
  <c r="J13" i="1"/>
  <c r="K13" i="1" s="1"/>
  <c r="H13" i="1"/>
  <c r="J12" i="1"/>
  <c r="K12" i="1" s="1"/>
  <c r="H12" i="1"/>
  <c r="J11" i="1"/>
  <c r="K11" i="1" s="1"/>
  <c r="H11" i="1"/>
  <c r="J10" i="1"/>
  <c r="K10" i="1" s="1"/>
  <c r="H10" i="1"/>
  <c r="J9" i="1"/>
  <c r="K9" i="1" s="1"/>
  <c r="H9" i="1"/>
  <c r="J8" i="1"/>
  <c r="K8" i="1" s="1"/>
  <c r="H8" i="1"/>
  <c r="J7" i="1"/>
  <c r="K7" i="1" s="1"/>
  <c r="H7" i="1"/>
  <c r="J6" i="1"/>
  <c r="K6" i="1" s="1"/>
  <c r="H6" i="1"/>
  <c r="J5" i="1"/>
  <c r="K5" i="1" s="1"/>
  <c r="H5" i="1"/>
  <c r="J30" i="2"/>
  <c r="K30" i="2" s="1"/>
  <c r="H30" i="2"/>
  <c r="J15" i="2"/>
  <c r="K15" i="2" s="1"/>
  <c r="H15" i="2"/>
  <c r="J19" i="2"/>
  <c r="K19" i="2" s="1"/>
  <c r="K20" i="2" s="1"/>
  <c r="H19" i="2"/>
  <c r="J9" i="2"/>
  <c r="K9" i="2" s="1"/>
  <c r="H9" i="2"/>
  <c r="J43" i="2"/>
  <c r="K43" i="2" s="1"/>
  <c r="H43" i="2"/>
  <c r="J32" i="2"/>
  <c r="K32" i="2" s="1"/>
  <c r="H32" i="2"/>
  <c r="H33" i="2" s="1"/>
  <c r="J45" i="2"/>
  <c r="K45" i="2" s="1"/>
  <c r="H45" i="2"/>
  <c r="J8" i="2"/>
  <c r="K8" i="2" s="1"/>
  <c r="K11" i="2" s="1"/>
  <c r="H8" i="2"/>
  <c r="J23" i="2"/>
  <c r="K23" i="2" s="1"/>
  <c r="H23" i="2"/>
  <c r="J50" i="2"/>
  <c r="K50" i="2" s="1"/>
  <c r="H50" i="2"/>
  <c r="J34" i="2"/>
  <c r="K34" i="2" s="1"/>
  <c r="K37" i="2" s="1"/>
  <c r="H34" i="2"/>
  <c r="J14" i="2"/>
  <c r="K14" i="2" s="1"/>
  <c r="H14" i="2"/>
  <c r="J26" i="2"/>
  <c r="K26" i="2" s="1"/>
  <c r="K28" i="2" s="1"/>
  <c r="H26" i="2"/>
  <c r="H28" i="2" s="1"/>
  <c r="J27" i="2"/>
  <c r="K27" i="2" s="1"/>
  <c r="H27" i="2"/>
  <c r="J13" i="2"/>
  <c r="K13" i="2" s="1"/>
  <c r="H13" i="2"/>
  <c r="H16" i="2" s="1"/>
  <c r="J36" i="2"/>
  <c r="K36" i="2" s="1"/>
  <c r="H36" i="2"/>
  <c r="J35" i="2"/>
  <c r="K35" i="2" s="1"/>
  <c r="H35" i="2"/>
  <c r="H37" i="2" s="1"/>
  <c r="J18" i="2"/>
  <c r="K18" i="2" s="1"/>
  <c r="H18" i="2"/>
  <c r="J6" i="2"/>
  <c r="K6" i="2" s="1"/>
  <c r="K7" i="2" s="1"/>
  <c r="H6" i="2"/>
  <c r="J40" i="2"/>
  <c r="K40" i="2" s="1"/>
  <c r="H40" i="2"/>
  <c r="J46" i="2"/>
  <c r="K46" i="2" s="1"/>
  <c r="H46" i="2"/>
  <c r="J22" i="2"/>
  <c r="K22" i="2" s="1"/>
  <c r="K25" i="2" s="1"/>
  <c r="H22" i="2"/>
  <c r="H25" i="2" s="1"/>
  <c r="J49" i="2"/>
  <c r="K49" i="2" s="1"/>
  <c r="H49" i="2"/>
  <c r="J39" i="2"/>
  <c r="K39" i="2" s="1"/>
  <c r="H39" i="2"/>
  <c r="J31" i="2"/>
  <c r="K31" i="2" s="1"/>
  <c r="K33" i="2" s="1"/>
  <c r="H31" i="2"/>
  <c r="J17" i="2"/>
  <c r="K17" i="2" s="1"/>
  <c r="H17" i="2"/>
  <c r="J48" i="2"/>
  <c r="K48" i="2" s="1"/>
  <c r="K51" i="2" s="1"/>
  <c r="H48" i="2"/>
  <c r="H51" i="2" s="1"/>
  <c r="J24" i="2"/>
  <c r="K24" i="2" s="1"/>
  <c r="H24" i="2"/>
  <c r="J10" i="2"/>
  <c r="K10" i="2" s="1"/>
  <c r="H10" i="2"/>
  <c r="J5" i="2"/>
  <c r="K5" i="2" s="1"/>
  <c r="H5" i="2"/>
  <c r="J38" i="2"/>
  <c r="K38" i="2" s="1"/>
  <c r="K41" i="2" s="1"/>
  <c r="H38" i="2"/>
  <c r="H41" i="2" s="1"/>
  <c r="J44" i="2"/>
  <c r="K44" i="2" s="1"/>
  <c r="H44" i="2"/>
  <c r="B2" i="1"/>
  <c r="B1" i="1"/>
  <c r="K42" i="2" l="1"/>
  <c r="H42" i="2"/>
  <c r="K47" i="2"/>
  <c r="K52" i="2" s="1"/>
  <c r="H29" i="2"/>
  <c r="K21" i="2"/>
  <c r="K12" i="2"/>
  <c r="K53" i="2" s="1"/>
  <c r="K16" i="2"/>
  <c r="K29" i="2"/>
  <c r="H21" i="2"/>
  <c r="H52" i="2"/>
  <c r="H7" i="2"/>
  <c r="H12" i="2" s="1"/>
  <c r="H53" i="2" s="1"/>
  <c r="L8" i="1"/>
  <c r="L12" i="1"/>
  <c r="L16" i="1"/>
  <c r="L20" i="1"/>
  <c r="L24" i="1"/>
  <c r="L28" i="1"/>
  <c r="L32" i="1"/>
  <c r="L5" i="1"/>
  <c r="L9" i="1"/>
  <c r="L13" i="1"/>
  <c r="L17" i="1"/>
  <c r="L21" i="1"/>
  <c r="L25" i="1"/>
  <c r="L29" i="1"/>
  <c r="L33" i="1"/>
  <c r="L6" i="1"/>
  <c r="L10" i="1"/>
  <c r="L14" i="1"/>
  <c r="L18" i="1"/>
  <c r="L22" i="1"/>
  <c r="L26" i="1"/>
  <c r="L30" i="1"/>
  <c r="L34" i="1"/>
  <c r="L7" i="1"/>
  <c r="L11" i="1"/>
  <c r="L15" i="1"/>
  <c r="L19" i="1"/>
  <c r="L23" i="1"/>
  <c r="L27" i="1"/>
  <c r="L31" i="1"/>
  <c r="L35" i="1"/>
  <c r="L36" i="1"/>
  <c r="L43" i="2"/>
  <c r="L47" i="2" s="1"/>
  <c r="L8" i="2"/>
  <c r="L48" i="2"/>
  <c r="L18" i="2"/>
  <c r="L24" i="2"/>
  <c r="L17" i="2"/>
  <c r="L20" i="2" s="1"/>
  <c r="L30" i="2"/>
  <c r="L34" i="2"/>
  <c r="L37" i="2" s="1"/>
  <c r="L23" i="2"/>
  <c r="L40" i="2"/>
  <c r="L39" i="2"/>
  <c r="L35" i="2"/>
  <c r="L27" i="2"/>
  <c r="L36" i="2"/>
  <c r="L26" i="2"/>
  <c r="L28" i="2" s="1"/>
  <c r="L38" i="2"/>
  <c r="L41" i="2" s="1"/>
  <c r="L22" i="2"/>
  <c r="L25" i="2" s="1"/>
  <c r="L9" i="2"/>
  <c r="L15" i="2"/>
  <c r="L46" i="2"/>
  <c r="L32" i="2"/>
  <c r="L13" i="2"/>
  <c r="L10" i="2"/>
  <c r="L5" i="2"/>
  <c r="L7" i="2" s="1"/>
  <c r="L49" i="2"/>
  <c r="L6" i="2"/>
  <c r="L19" i="2"/>
  <c r="L44" i="2"/>
  <c r="L50" i="2"/>
  <c r="L45" i="2"/>
  <c r="L31" i="2"/>
  <c r="L14" i="2"/>
  <c r="L33" i="2" l="1"/>
  <c r="L16" i="2"/>
  <c r="L21" i="2" s="1"/>
  <c r="L51" i="2"/>
  <c r="L11" i="2"/>
  <c r="L29" i="2"/>
  <c r="L52" i="2"/>
  <c r="L12" i="2"/>
  <c r="L42" i="2"/>
  <c r="L53" i="2" l="1"/>
</calcChain>
</file>

<file path=xl/sharedStrings.xml><?xml version="1.0" encoding="utf-8"?>
<sst xmlns="http://schemas.openxmlformats.org/spreadsheetml/2006/main" count="401" uniqueCount="117">
  <si>
    <t>Discipline</t>
  </si>
  <si>
    <t>Area</t>
  </si>
  <si>
    <t>Book Title</t>
  </si>
  <si>
    <t>Edition</t>
  </si>
  <si>
    <t>Copyright</t>
  </si>
  <si>
    <t>Units Sold Wholesale</t>
  </si>
  <si>
    <t>Unit Price Wholesale</t>
  </si>
  <si>
    <t>Units Sold Retail</t>
  </si>
  <si>
    <t>Unit Price Retail</t>
  </si>
  <si>
    <t>Introductory</t>
  </si>
  <si>
    <t>General</t>
  </si>
  <si>
    <t>Social Sciences</t>
  </si>
  <si>
    <t>Contemporary Sociology</t>
  </si>
  <si>
    <t>Sociology: An Introduction</t>
  </si>
  <si>
    <t>Contemporary Sociology: Brief Edition</t>
  </si>
  <si>
    <t>Modern Approach to Social Science</t>
  </si>
  <si>
    <t>Introduction to Social Sciences</t>
  </si>
  <si>
    <t>Race/Class/Gender</t>
  </si>
  <si>
    <t>Gender Issues</t>
  </si>
  <si>
    <t>Gender Psychology</t>
  </si>
  <si>
    <t>Introduction to Gender Issues</t>
  </si>
  <si>
    <t>Women's Studies</t>
  </si>
  <si>
    <t>Race/Ethnicity</t>
  </si>
  <si>
    <t>Bridging the Gap in Racial Groups</t>
  </si>
  <si>
    <t>Changes and Challenges in the U.S.</t>
  </si>
  <si>
    <t>America: Diversity in Race and Ethnicity</t>
  </si>
  <si>
    <t>Human Sexuality</t>
  </si>
  <si>
    <t>Understanding Human Sexuality</t>
  </si>
  <si>
    <t>Psychology and  Human Sexuality</t>
  </si>
  <si>
    <t>Family</t>
  </si>
  <si>
    <t>Family Interaction</t>
  </si>
  <si>
    <t>Trends in Family Interactions</t>
  </si>
  <si>
    <t>Family Dynamics: A Modern Perspective</t>
  </si>
  <si>
    <t>Marriage and Family</t>
  </si>
  <si>
    <t>Relationships in Marriages</t>
  </si>
  <si>
    <t>Marriages and Family Matters</t>
  </si>
  <si>
    <t>Diversity and Change in Today's Marriages</t>
  </si>
  <si>
    <t>Aging/Death</t>
  </si>
  <si>
    <t>Sociology of Aging</t>
  </si>
  <si>
    <t>Concerns and Issues in Aging</t>
  </si>
  <si>
    <t>Quality of Life as We Age</t>
  </si>
  <si>
    <t>Death and Dying</t>
  </si>
  <si>
    <t>The Aging Process</t>
  </si>
  <si>
    <t>Death in Society</t>
  </si>
  <si>
    <t>Interpretations in Grief and Loss</t>
  </si>
  <si>
    <t>An Introduction to Symbolic Interactionism</t>
  </si>
  <si>
    <t>Readings in Social Psychology</t>
  </si>
  <si>
    <t>Social Psychology</t>
  </si>
  <si>
    <t>Modern Perspectives on Social Psychology</t>
  </si>
  <si>
    <t>Symbolic Interactionism</t>
  </si>
  <si>
    <t>Symbolic Interactionism: An Introduction</t>
  </si>
  <si>
    <t>Symbolic Interactionism: Brief Edition</t>
  </si>
  <si>
    <t>Looking at Self and Society</t>
  </si>
  <si>
    <t>Sales: Wholesale</t>
  </si>
  <si>
    <t>Family Interactions: A Developmental Approach</t>
  </si>
  <si>
    <t>Sales: 
Retail</t>
  </si>
  <si>
    <t>Standard Author Royalty Rate:</t>
  </si>
  <si>
    <t>Retail Price Rate (Based on Wholesale):</t>
  </si>
  <si>
    <t>Total Book Sales</t>
  </si>
  <si>
    <t>Total Book Sales:</t>
  </si>
  <si>
    <t>Total Intro Sales:</t>
  </si>
  <si>
    <t>Editor ID</t>
  </si>
  <si>
    <t>Discipline Code</t>
  </si>
  <si>
    <t>RCG</t>
  </si>
  <si>
    <t>SPSY</t>
  </si>
  <si>
    <t>AD</t>
  </si>
  <si>
    <t>INT</t>
  </si>
  <si>
    <t>FAM</t>
  </si>
  <si>
    <t>Disc Code</t>
  </si>
  <si>
    <t>Editor Last</t>
  </si>
  <si>
    <t>Editor First</t>
  </si>
  <si>
    <t>Hort</t>
  </si>
  <si>
    <t>Melissa</t>
  </si>
  <si>
    <t>Bershov</t>
  </si>
  <si>
    <t>Anton</t>
  </si>
  <si>
    <t>Huang</t>
  </si>
  <si>
    <t>Jacey</t>
  </si>
  <si>
    <t>Watanabe</t>
  </si>
  <si>
    <t>Emiko</t>
  </si>
  <si>
    <t>Santos</t>
  </si>
  <si>
    <t>Carlos</t>
  </si>
  <si>
    <t>Schmid</t>
  </si>
  <si>
    <t>Steve</t>
  </si>
  <si>
    <t>Dubois</t>
  </si>
  <si>
    <t>Camille</t>
  </si>
  <si>
    <t>Rizzo</t>
  </si>
  <si>
    <t>Federigo</t>
  </si>
  <si>
    <t>Gagne</t>
  </si>
  <si>
    <t>James</t>
  </si>
  <si>
    <t>Mitchell</t>
  </si>
  <si>
    <t>Barbara</t>
  </si>
  <si>
    <t>Sullivan</t>
  </si>
  <si>
    <t>Christopher</t>
  </si>
  <si>
    <t>Richardson</t>
  </si>
  <si>
    <t>Amanda</t>
  </si>
  <si>
    <t>Aging/Death Total</t>
  </si>
  <si>
    <t>Family Total</t>
  </si>
  <si>
    <t>Introductory Total</t>
  </si>
  <si>
    <t>Race/Class/Gender Total</t>
  </si>
  <si>
    <t>Social Psychology Total</t>
  </si>
  <si>
    <t>Grand Total</t>
  </si>
  <si>
    <t>Death and Dying Total</t>
  </si>
  <si>
    <t>Sociology of Aging Total</t>
  </si>
  <si>
    <t>Family Interaction Total</t>
  </si>
  <si>
    <t>Marriage and Family Total</t>
  </si>
  <si>
    <t>General Total</t>
  </si>
  <si>
    <t>Social Sciences Total</t>
  </si>
  <si>
    <t>Gender Issues Total</t>
  </si>
  <si>
    <t>Human Sexuality Total</t>
  </si>
  <si>
    <t>Race/Ethnicity Total</t>
  </si>
  <si>
    <t>Symbolic Interactionism Total</t>
  </si>
  <si>
    <t xml:space="preserve">Sales by discipline </t>
  </si>
  <si>
    <t xml:space="preserve">Copyright year </t>
  </si>
  <si>
    <t>(All)</t>
  </si>
  <si>
    <t xml:space="preserve">Total Sales by discipline </t>
  </si>
  <si>
    <t>Total Authors' Royalties</t>
  </si>
  <si>
    <t>Authors' Royalties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</si>
</sst>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5" tint="0.79998168889431442"/>
        <bgColor indexed="64"/>
      </patternFill>
    </fill>
  </fills>
  <borders count="1">
    <border>
      <left/>
      <right/>
      <top/>
      <bottom/>
      <diagonal/>
    </border>
  </borders>
  <cellStyleXfs count="15">
    <xf numFmtId="0" fontId="0"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cellStyleXfs>
  <cellXfs count="22">
    <xf numFmtId="0" fontId="0" fillId="0" borderId="0" xfId="0"/>
    <xf numFmtId="0" fontId="0" fillId="0" borderId="0" xfId="0" applyAlignment="1">
      <alignment horizontal="center"/>
    </xf>
    <xf numFmtId="164" fontId="0" fillId="0" borderId="0" xfId="0" applyNumberFormat="1"/>
    <xf numFmtId="0" fontId="1" fillId="0" borderId="0" xfId="1"/>
    <xf numFmtId="164" fontId="0" fillId="0" borderId="0" xfId="2" applyNumberFormat="1" applyFont="1"/>
    <xf numFmtId="0" fontId="1" fillId="0" borderId="0" xfId="3" applyAlignment="1">
      <alignment horizontal="center"/>
    </xf>
    <xf numFmtId="9" fontId="1" fillId="0" borderId="0" xfId="4" applyNumberFormat="1"/>
    <xf numFmtId="0" fontId="2" fillId="2" borderId="0" xfId="5" applyFont="1" applyFill="1"/>
    <xf numFmtId="0" fontId="2" fillId="2" borderId="0" xfId="6" applyFont="1" applyFill="1" applyAlignment="1">
      <alignment horizontal="center"/>
    </xf>
    <xf numFmtId="0" fontId="2" fillId="2" borderId="0" xfId="7" applyFont="1" applyFill="1" applyAlignment="1">
      <alignment horizontal="center" wrapText="1"/>
    </xf>
    <xf numFmtId="165" fontId="0" fillId="0" borderId="0" xfId="8" applyNumberFormat="1" applyFont="1"/>
    <xf numFmtId="164" fontId="0" fillId="3" borderId="0" xfId="9" applyNumberFormat="1" applyFont="1" applyFill="1"/>
    <xf numFmtId="164" fontId="1" fillId="3" borderId="0" xfId="10" applyNumberFormat="1" applyFill="1"/>
    <xf numFmtId="0" fontId="3" fillId="0" borderId="0" xfId="11" applyFont="1"/>
    <xf numFmtId="164" fontId="0" fillId="0" borderId="0" xfId="12" applyNumberFormat="1" applyFont="1" applyFill="1"/>
    <xf numFmtId="164" fontId="1" fillId="0" borderId="0" xfId="13" applyNumberFormat="1"/>
    <xf numFmtId="0" fontId="3" fillId="0" borderId="0" xfId="14" applyFont="1" applyAlignment="1">
      <alignment horizontal="center"/>
    </xf>
    <xf numFmtId="0" fontId="3" fillId="0" borderId="0" xfId="1" applyFont="1"/>
    <xf numFmtId="0" fontId="0" fillId="0" borderId="0" xfId="0" pivotButton="1"/>
    <xf numFmtId="0" fontId="0" fillId="0" borderId="0" xfId="0" applyAlignment="1">
      <alignment horizontal="left"/>
    </xf>
    <xf numFmtId="0" fontId="0" fillId="0" borderId="0" xfId="0" applyAlignment="1">
      <alignment wrapText="1"/>
    </xf>
    <xf numFmtId="10" fontId="0" fillId="0" borderId="0" xfId="0" applyNumberFormat="1"/>
  </cellXfs>
  <cellStyles count="15">
    <cellStyle name="6DgcUaQzxokW+jC0xjplCL110yhgJO2bvCDbpicIpkW5xWaVe5f3stuPVx2FEWWkktEo3ATWMI9RkRX0F7pDKejdxsCe6p4C-~ycc7Ge8Vs5A1zYejviWEhw==" xfId="5" xr:uid="{00000000-0005-0000-0000-000007000000}"/>
    <cellStyle name="7DxoME21zrdr6EYb5hByg2sK5SpYSx6fPOBod4+qMpY/e+Ha2JTmQZFenQiAMaGv/pVEFiXe5l3rw5F7DPSz0DhsV0rPtftI-~2m7lBpLst8vOoCSwBtdlXA==" xfId="3" xr:uid="{00000000-0005-0000-0000-000005000000}"/>
    <cellStyle name="AA4/3C5XtJY4pERdeHHNwZSX6tonsvSIMGXFNUjtsHXlZ4+Lkj7sIlI6z9vq7FZtJKLZ702IUCGcJmuAcneo3jQQHDV96RqN-~EIdw77UJzuYl10RSE5c+ww==" xfId="12" xr:uid="{00000000-0005-0000-0000-00000E000000}"/>
    <cellStyle name="Cqh6UPVo8RtybKdEqnKJ9Iev+pd7TJu8Rj2yQlLF2sgtmFckEF84LaryRh1zrYprgziMF7P22hCIU7edg/ckMhVkU4cwqfki-~q60rcdMP1ixB4tndBaYnlQ==" xfId="4" xr:uid="{00000000-0005-0000-0000-000006000000}"/>
    <cellStyle name="cufL+5CAXvbQhSgLCD/wITRwfXEBq0PdcwFNZxxLUV63msDldh1ae4BzKOorifNyGjQ3dnyXHGTAsVT/cpuDCUhyEsjl2v7K-~ytCUUuEZQ10HE3qOstIVuA==" xfId="9" xr:uid="{00000000-0005-0000-0000-00000B000000}"/>
    <cellStyle name="CW7aPBR6qn5MiRZp43PwtVnoRDutFtk6DDoHp4jY3grXLTLVqXEwrMH32qAyj4je9lJxDo8JHCcQ4M4qlrTKgE+RJYmNhgto-~jgHXeDlrbRwWZmwKF/xUOQ==" xfId="10" xr:uid="{00000000-0005-0000-0000-00000C000000}"/>
    <cellStyle name="eNnHcPKmTG0J+aoSHEO/h+MVJRUg4cYZsW8sU9LDABBtlZ+KNqzCNNsvvahHnBaSDgxZiQ28NMlYrJ8rjABmro1livY2MMwi-~Yj7aiqjglelPJaXLU9xSkw==" xfId="7" xr:uid="{00000000-0005-0000-0000-000009000000}"/>
    <cellStyle name="fC1J9OHb/m1a5anvrBNrUR5hEs5ho41zpJS0+ulskYxeouQfJ8if7x/bxLRL6YiiESvcm8qaj6XznhLrsiFV3qE7KDn2xYTQ-~aDiwlRe7ZLD1XLBktLVikw==" xfId="1" xr:uid="{00000000-0005-0000-0000-000003000000}"/>
    <cellStyle name="lAMcvjXq5SiyRYphysgiM8vyuMn8gkIGwaZPOV2JSMPbTj15m4dYSMbe1D4zGZQC1B8ew1ZDno+WKGJjjKVxVBrgIY8TQScC-~EBpCfwoeNShP16o7Cj9quw==" xfId="13" xr:uid="{00000000-0005-0000-0000-00000F000000}"/>
    <cellStyle name="Normal" xfId="0" builtinId="0"/>
    <cellStyle name="PNR2gNjDiCYYCDsin2tYsQg22V7iKCbvlirBR0Vg+KHXXenJKCAIkfFCA5Wur8sxp/pexMC9DSaV7JQ2C3WNaCr5OfxUQkvx-~Ujzx1YSG+yy1GawIAPA3SA==" xfId="14" xr:uid="{00000000-0005-0000-0000-000010000000}"/>
    <cellStyle name="Shwa3+hzFiNDANb3j4fIZ4GYkFHcXpis8Lq1lnAkZgkTv6kMzxgJVru1v+nbBOMom2bJuGI+Ii/DhMlCDP2nneeYHB1cq+5+-~9wTZKOiwa44lGFbAc3HT3w==" xfId="11" xr:uid="{00000000-0005-0000-0000-00000D000000}"/>
    <cellStyle name="uFh1OjYw6FcVw0o70jspEIaHsP4WadK22v2bgECC5ppYg3h0fEZmRUrIKhCHLC1TsNbORpfS+c3ZOyZ03nbCjf0St4a3P7Pe-~wG/vPtayd1DVjcLfC5lWDA==" xfId="6" xr:uid="{00000000-0005-0000-0000-000008000000}"/>
    <cellStyle name="x4B6/CrA4BS+4SHxsLu9fMu/v+2CC3TFg7BWH3N0IJLgf/kaekphdxqUTaaKU7nAGoqcxePTO9e0/Sss791yYTsytBPpod6t-~RKS1ICzJWTTIqSh4DwPpBA==" xfId="2" xr:uid="{00000000-0005-0000-0000-000004000000}"/>
    <cellStyle name="Z+oQ3wG7NwtvGGCdqYm9Oj0VQ234NVnkYc0pwaQQ/kAXEhTfYaZoxrkoqaSD2dKDWi9GjZZCro2D7HxfDXn4AYR0mXmoeJUD-~PClQh6pz3MQqXQouoMe59g==" xfId="8" xr:uid="{00000000-0005-0000-0000-00000A000000}"/>
  </cellStyles>
  <dxfs count="11">
    <dxf>
      <alignment horizontal="center" vertical="bottom" textRotation="0" wrapText="0" indent="0" justifyLastLine="0" shrinkToFit="0" readingOrder="0"/>
    </dxf>
    <dxf>
      <numFmt numFmtId="164" formatCode="_(&quot;$&quot;* #,##0_);_(&quot;$&quot;* \(#,##0\);_(&quot;$&quot;*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4" formatCode="_(&quot;$&quot;* #,##0_);_(&quot;$&quot;* \(#,##0\);_(&quot;$&quot;*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4" formatCode="_(&quot;$&quot;* #,##0_);_(&quot;$&quot;* \(#,##0\);_(&quot;$&quot;* &quot;-&quot;??_);_(@_)"/>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1" indent="0" justifyLastLine="0" shrinkToFit="0" readingOrder="0"/>
    </dxf>
    <dxf>
      <numFmt numFmtId="14" formatCode="0.00%"/>
    </dxf>
    <dxf>
      <alignment wrapText="1"/>
    </dxf>
    <dxf>
      <alignment wrapText="1"/>
    </dxf>
    <dxf>
      <alignment wrapText="1"/>
    </dxf>
    <dxf>
      <alignment wrapText="1"/>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[khapra_Exp22_Excel_Ch05_HOE_Sociology.xlsx]PivotTable!Total Book Sales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s>
    <c:plotArea>
      <c:layout/>
      <c:pieChart>
        <c:varyColors val="1"/>
        <c:ser>
          <c:idx val="0"/>
          <c:order val="0"/>
          <c:tx>
            <c:strRef>
              <c:f>PivotTable!$B$3:$B$5</c:f>
              <c:strCache>
                <c:ptCount val="1"/>
                <c:pt idx="0">
                  <c:v>2022 - Sales by discipline </c:v>
                </c:pt>
              </c:strCache>
            </c:strRef>
          </c:tx>
          <c:dPt>
            <c:idx val="0"/>
            <c:bubble3D val="0"/>
            <c:spPr>
              <a:solidFill>
                <a:schemeClr val="accent1"/>
              </a:solidFill>
              <a:ln>
                <a:noFill/>
              </a:ln>
              <a:effectLst/>
            </c:spPr>
            <c:extLst>
              <c:ext xmlns:c16="http://schemas.microsoft.com/office/drawing/2014/chart" uri="{C3380CC4-5D6E-409C-BE32-E72D297353CC}">
                <c16:uniqueId val="{00000001-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03-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05-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07-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09-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PivotTable!$B$6:$B$11</c:f>
              <c:numCache>
                <c:formatCode>0.00%</c:formatCode>
                <c:ptCount val="5"/>
                <c:pt idx="0">
                  <c:v>6.5394190165370902E-2</c:v>
                </c:pt>
                <c:pt idx="1">
                  <c:v>0</c:v>
                </c:pt>
                <c:pt idx="2">
                  <c:v>0</c:v>
                </c:pt>
                <c:pt idx="3">
                  <c:v>0</c:v>
                </c:pt>
                <c:pt idx="4">
                  <c:v>4.1839266984342705E-2</c:v>
                </c:pt>
              </c:numCache>
            </c:numRef>
          </c:val>
          <c:extLst>
            <c:ext xmlns:c16="http://schemas.microsoft.com/office/drawing/2014/chart" uri="{C3380CC4-5D6E-409C-BE32-E72D297353CC}">
              <c16:uniqueId val="{0000000A-38D4-2843-A452-080CC9D6C1BE}"/>
            </c:ext>
          </c:extLst>
        </c:ser>
        <c:ser>
          <c:idx val="1"/>
          <c:order val="1"/>
          <c:tx>
            <c:strRef>
              <c:f>PivotTable!$C$3:$C$5</c:f>
              <c:strCache>
                <c:ptCount val="1"/>
                <c:pt idx="0">
                  <c:v>2022 - Authors' Royalties</c:v>
                </c:pt>
              </c:strCache>
            </c:strRef>
          </c:tx>
          <c:dPt>
            <c:idx val="0"/>
            <c:bubble3D val="0"/>
            <c:spPr>
              <a:solidFill>
                <a:schemeClr val="accent1"/>
              </a:solidFill>
              <a:ln>
                <a:noFill/>
              </a:ln>
              <a:effectLst/>
            </c:spPr>
            <c:extLst>
              <c:ext xmlns:c16="http://schemas.microsoft.com/office/drawing/2014/chart" uri="{C3380CC4-5D6E-409C-BE32-E72D297353CC}">
                <c16:uniqueId val="{0000000C-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0E-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10-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12-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14-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PivotTable!$C$6:$C$11</c:f>
              <c:numCache>
                <c:formatCode>_("$"* #,##0_);_("$"* \(#,##0\);_("$"* "-"??_);_(@_)</c:formatCode>
                <c:ptCount val="5"/>
                <c:pt idx="0">
                  <c:v>368968.80000000005</c:v>
                </c:pt>
                <c:pt idx="1">
                  <c:v>0</c:v>
                </c:pt>
                <c:pt idx="2">
                  <c:v>0</c:v>
                </c:pt>
                <c:pt idx="3">
                  <c:v>0</c:v>
                </c:pt>
                <c:pt idx="4">
                  <c:v>236066.6</c:v>
                </c:pt>
              </c:numCache>
            </c:numRef>
          </c:val>
          <c:extLst>
            <c:ext xmlns:c16="http://schemas.microsoft.com/office/drawing/2014/chart" uri="{C3380CC4-5D6E-409C-BE32-E72D297353CC}">
              <c16:uniqueId val="{00000015-38D4-2843-A452-080CC9D6C1BE}"/>
            </c:ext>
          </c:extLst>
        </c:ser>
        <c:ser>
          <c:idx val="2"/>
          <c:order val="2"/>
          <c:tx>
            <c:strRef>
              <c:f>PivotTable!$D$3:$D$5</c:f>
              <c:strCache>
                <c:ptCount val="1"/>
                <c:pt idx="0">
                  <c:v>2023 - Sales by discipline </c:v>
                </c:pt>
              </c:strCache>
            </c:strRef>
          </c:tx>
          <c:dPt>
            <c:idx val="0"/>
            <c:bubble3D val="0"/>
            <c:spPr>
              <a:solidFill>
                <a:schemeClr val="accent1"/>
              </a:solidFill>
              <a:ln>
                <a:noFill/>
              </a:ln>
              <a:effectLst/>
            </c:spPr>
            <c:extLst>
              <c:ext xmlns:c16="http://schemas.microsoft.com/office/drawing/2014/chart" uri="{C3380CC4-5D6E-409C-BE32-E72D297353CC}">
                <c16:uniqueId val="{00000017-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19-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1B-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1D-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1F-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PivotTable!$D$6:$D$11</c:f>
              <c:numCache>
                <c:formatCode>0.00%</c:formatCode>
                <c:ptCount val="5"/>
                <c:pt idx="0">
                  <c:v>0</c:v>
                </c:pt>
                <c:pt idx="1">
                  <c:v>3.2316429721177424E-2</c:v>
                </c:pt>
                <c:pt idx="2">
                  <c:v>3.5849414752262672E-2</c:v>
                </c:pt>
                <c:pt idx="3">
                  <c:v>5.5195981160627031E-2</c:v>
                </c:pt>
                <c:pt idx="4">
                  <c:v>2.0727847484308497E-2</c:v>
                </c:pt>
              </c:numCache>
            </c:numRef>
          </c:val>
          <c:extLst>
            <c:ext xmlns:c16="http://schemas.microsoft.com/office/drawing/2014/chart" uri="{C3380CC4-5D6E-409C-BE32-E72D297353CC}">
              <c16:uniqueId val="{00000020-38D4-2843-A452-080CC9D6C1BE}"/>
            </c:ext>
          </c:extLst>
        </c:ser>
        <c:ser>
          <c:idx val="3"/>
          <c:order val="3"/>
          <c:tx>
            <c:strRef>
              <c:f>PivotTable!$E$3:$E$5</c:f>
              <c:strCache>
                <c:ptCount val="1"/>
                <c:pt idx="0">
                  <c:v>2023 - Authors' Royalties</c:v>
                </c:pt>
              </c:strCache>
            </c:strRef>
          </c:tx>
          <c:dPt>
            <c:idx val="0"/>
            <c:bubble3D val="0"/>
            <c:spPr>
              <a:solidFill>
                <a:schemeClr val="accent1"/>
              </a:solidFill>
              <a:ln>
                <a:noFill/>
              </a:ln>
              <a:effectLst/>
            </c:spPr>
            <c:extLst>
              <c:ext xmlns:c16="http://schemas.microsoft.com/office/drawing/2014/chart" uri="{C3380CC4-5D6E-409C-BE32-E72D297353CC}">
                <c16:uniqueId val="{00000022-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24-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26-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28-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2A-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PivotTable!$E$6:$E$11</c:f>
              <c:numCache>
                <c:formatCode>_("$"* #,##0_);_("$"* \(#,##0\);_("$"* "-"??_);_(@_)</c:formatCode>
                <c:ptCount val="5"/>
                <c:pt idx="0">
                  <c:v>0</c:v>
                </c:pt>
                <c:pt idx="1">
                  <c:v>182336.6</c:v>
                </c:pt>
                <c:pt idx="2">
                  <c:v>202270.5</c:v>
                </c:pt>
                <c:pt idx="3">
                  <c:v>311428.2</c:v>
                </c:pt>
                <c:pt idx="4">
                  <c:v>116951.20000000001</c:v>
                </c:pt>
              </c:numCache>
            </c:numRef>
          </c:val>
          <c:extLst>
            <c:ext xmlns:c16="http://schemas.microsoft.com/office/drawing/2014/chart" uri="{C3380CC4-5D6E-409C-BE32-E72D297353CC}">
              <c16:uniqueId val="{0000002B-38D4-2843-A452-080CC9D6C1BE}"/>
            </c:ext>
          </c:extLst>
        </c:ser>
        <c:ser>
          <c:idx val="4"/>
          <c:order val="4"/>
          <c:tx>
            <c:strRef>
              <c:f>PivotTable!$F$3:$F$5</c:f>
              <c:strCache>
                <c:ptCount val="1"/>
                <c:pt idx="0">
                  <c:v>2024 - Sales by discipline </c:v>
                </c:pt>
              </c:strCache>
            </c:strRef>
          </c:tx>
          <c:dPt>
            <c:idx val="0"/>
            <c:bubble3D val="0"/>
            <c:spPr>
              <a:solidFill>
                <a:schemeClr val="accent1"/>
              </a:solidFill>
              <a:ln>
                <a:noFill/>
              </a:ln>
              <a:effectLst/>
            </c:spPr>
            <c:extLst>
              <c:ext xmlns:c16="http://schemas.microsoft.com/office/drawing/2014/chart" uri="{C3380CC4-5D6E-409C-BE32-E72D297353CC}">
                <c16:uniqueId val="{0000002D-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2F-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31-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33-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35-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PivotTable!$F$6:$F$11</c:f>
              <c:numCache>
                <c:formatCode>0.00%</c:formatCode>
                <c:ptCount val="5"/>
                <c:pt idx="0">
                  <c:v>1.0841465761917371E-2</c:v>
                </c:pt>
                <c:pt idx="1">
                  <c:v>3.7896550049572632E-2</c:v>
                </c:pt>
                <c:pt idx="2">
                  <c:v>0.10014153988159992</c:v>
                </c:pt>
                <c:pt idx="3">
                  <c:v>7.1851871938486689E-2</c:v>
                </c:pt>
                <c:pt idx="4">
                  <c:v>4.6555632475551313E-2</c:v>
                </c:pt>
              </c:numCache>
            </c:numRef>
          </c:val>
          <c:extLst>
            <c:ext xmlns:c16="http://schemas.microsoft.com/office/drawing/2014/chart" uri="{C3380CC4-5D6E-409C-BE32-E72D297353CC}">
              <c16:uniqueId val="{00000036-38D4-2843-A452-080CC9D6C1BE}"/>
            </c:ext>
          </c:extLst>
        </c:ser>
        <c:ser>
          <c:idx val="5"/>
          <c:order val="5"/>
          <c:tx>
            <c:strRef>
              <c:f>PivotTable!$G$3:$G$5</c:f>
              <c:strCache>
                <c:ptCount val="1"/>
                <c:pt idx="0">
                  <c:v>2024 - Authors' Royalties</c:v>
                </c:pt>
              </c:strCache>
            </c:strRef>
          </c:tx>
          <c:dPt>
            <c:idx val="0"/>
            <c:bubble3D val="0"/>
            <c:spPr>
              <a:solidFill>
                <a:schemeClr val="accent1"/>
              </a:solidFill>
              <a:ln>
                <a:noFill/>
              </a:ln>
              <a:effectLst/>
            </c:spPr>
            <c:extLst>
              <c:ext xmlns:c16="http://schemas.microsoft.com/office/drawing/2014/chart" uri="{C3380CC4-5D6E-409C-BE32-E72D297353CC}">
                <c16:uniqueId val="{00000038-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3A-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3C-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3E-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40-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PivotTable!$G$6:$G$11</c:f>
              <c:numCache>
                <c:formatCode>_("$"* #,##0_);_("$"* \(#,##0\);_("$"* "-"??_);_(@_)</c:formatCode>
                <c:ptCount val="5"/>
                <c:pt idx="0">
                  <c:v>61170</c:v>
                </c:pt>
                <c:pt idx="1">
                  <c:v>213820.90000000002</c:v>
                </c:pt>
                <c:pt idx="2">
                  <c:v>565021.20000000007</c:v>
                </c:pt>
                <c:pt idx="3">
                  <c:v>405404.5</c:v>
                </c:pt>
                <c:pt idx="4">
                  <c:v>262677.40000000002</c:v>
                </c:pt>
              </c:numCache>
            </c:numRef>
          </c:val>
          <c:extLst>
            <c:ext xmlns:c16="http://schemas.microsoft.com/office/drawing/2014/chart" uri="{C3380CC4-5D6E-409C-BE32-E72D297353CC}">
              <c16:uniqueId val="{00000041-38D4-2843-A452-080CC9D6C1BE}"/>
            </c:ext>
          </c:extLst>
        </c:ser>
        <c:ser>
          <c:idx val="6"/>
          <c:order val="6"/>
          <c:tx>
            <c:strRef>
              <c:f>PivotTable!$H$3:$H$5</c:f>
              <c:strCache>
                <c:ptCount val="1"/>
                <c:pt idx="0">
                  <c:v>2025 - Sales by discipline </c:v>
                </c:pt>
              </c:strCache>
            </c:strRef>
          </c:tx>
          <c:dPt>
            <c:idx val="0"/>
            <c:bubble3D val="0"/>
            <c:spPr>
              <a:solidFill>
                <a:schemeClr val="accent1"/>
              </a:solidFill>
              <a:ln>
                <a:noFill/>
              </a:ln>
              <a:effectLst/>
            </c:spPr>
            <c:extLst>
              <c:ext xmlns:c16="http://schemas.microsoft.com/office/drawing/2014/chart" uri="{C3380CC4-5D6E-409C-BE32-E72D297353CC}">
                <c16:uniqueId val="{00000043-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45-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47-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49-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4B-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PivotTable!$H$6:$H$11</c:f>
              <c:numCache>
                <c:formatCode>0.00%</c:formatCode>
                <c:ptCount val="5"/>
                <c:pt idx="0">
                  <c:v>7.4547545596365686E-2</c:v>
                </c:pt>
                <c:pt idx="1">
                  <c:v>6.9929102449990482E-2</c:v>
                </c:pt>
                <c:pt idx="2">
                  <c:v>8.0296003740367716E-2</c:v>
                </c:pt>
                <c:pt idx="3">
                  <c:v>0.12670405262036649</c:v>
                </c:pt>
                <c:pt idx="4">
                  <c:v>0.12991310521769245</c:v>
                </c:pt>
              </c:numCache>
            </c:numRef>
          </c:val>
          <c:extLst>
            <c:ext xmlns:c16="http://schemas.microsoft.com/office/drawing/2014/chart" uri="{C3380CC4-5D6E-409C-BE32-E72D297353CC}">
              <c16:uniqueId val="{0000004C-38D4-2843-A452-080CC9D6C1BE}"/>
            </c:ext>
          </c:extLst>
        </c:ser>
        <c:ser>
          <c:idx val="7"/>
          <c:order val="7"/>
          <c:tx>
            <c:strRef>
              <c:f>PivotTable!$I$3:$I$5</c:f>
              <c:strCache>
                <c:ptCount val="1"/>
                <c:pt idx="0">
                  <c:v>2025 - Authors' Royalties</c:v>
                </c:pt>
              </c:strCache>
            </c:strRef>
          </c:tx>
          <c:dPt>
            <c:idx val="0"/>
            <c:bubble3D val="0"/>
            <c:spPr>
              <a:solidFill>
                <a:schemeClr val="accent1"/>
              </a:solidFill>
              <a:ln>
                <a:noFill/>
              </a:ln>
              <a:effectLst/>
            </c:spPr>
            <c:extLst>
              <c:ext xmlns:c16="http://schemas.microsoft.com/office/drawing/2014/chart" uri="{C3380CC4-5D6E-409C-BE32-E72D297353CC}">
                <c16:uniqueId val="{0000004E-38D4-2843-A452-080CC9D6C1BE}"/>
              </c:ext>
            </c:extLst>
          </c:dPt>
          <c:dPt>
            <c:idx val="1"/>
            <c:bubble3D val="0"/>
            <c:spPr>
              <a:solidFill>
                <a:schemeClr val="accent2"/>
              </a:solidFill>
              <a:ln>
                <a:noFill/>
              </a:ln>
              <a:effectLst/>
            </c:spPr>
            <c:extLst>
              <c:ext xmlns:c16="http://schemas.microsoft.com/office/drawing/2014/chart" uri="{C3380CC4-5D6E-409C-BE32-E72D297353CC}">
                <c16:uniqueId val="{00000050-38D4-2843-A452-080CC9D6C1BE}"/>
              </c:ext>
            </c:extLst>
          </c:dPt>
          <c:dPt>
            <c:idx val="2"/>
            <c:bubble3D val="0"/>
            <c:spPr>
              <a:solidFill>
                <a:schemeClr val="accent3"/>
              </a:solidFill>
              <a:ln>
                <a:noFill/>
              </a:ln>
              <a:effectLst/>
            </c:spPr>
            <c:extLst>
              <c:ext xmlns:c16="http://schemas.microsoft.com/office/drawing/2014/chart" uri="{C3380CC4-5D6E-409C-BE32-E72D297353CC}">
                <c16:uniqueId val="{00000052-38D4-2843-A452-080CC9D6C1BE}"/>
              </c:ext>
            </c:extLst>
          </c:dPt>
          <c:dPt>
            <c:idx val="3"/>
            <c:bubble3D val="0"/>
            <c:spPr>
              <a:solidFill>
                <a:schemeClr val="accent4"/>
              </a:solidFill>
              <a:ln>
                <a:noFill/>
              </a:ln>
              <a:effectLst/>
            </c:spPr>
            <c:extLst>
              <c:ext xmlns:c16="http://schemas.microsoft.com/office/drawing/2014/chart" uri="{C3380CC4-5D6E-409C-BE32-E72D297353CC}">
                <c16:uniqueId val="{00000054-38D4-2843-A452-080CC9D6C1BE}"/>
              </c:ext>
            </c:extLst>
          </c:dPt>
          <c:dPt>
            <c:idx val="4"/>
            <c:bubble3D val="0"/>
            <c:spPr>
              <a:solidFill>
                <a:schemeClr val="accent5"/>
              </a:solidFill>
              <a:ln>
                <a:noFill/>
              </a:ln>
              <a:effectLst/>
            </c:spPr>
            <c:extLst>
              <c:ext xmlns:c16="http://schemas.microsoft.com/office/drawing/2014/chart" uri="{C3380CC4-5D6E-409C-BE32-E72D297353CC}">
                <c16:uniqueId val="{00000056-38D4-2843-A452-080CC9D6C1BE}"/>
              </c:ext>
            </c:extLst>
          </c:dPt>
          <c:cat>
            <c:strRef>
              <c:f>PivotTable!$A$6:$A$11</c:f>
              <c:strCache>
                <c:ptCount val="5"/>
                <c:pt idx="0">
                  <c:v>Aging/Death</c:v>
                </c:pt>
                <c:pt idx="1">
                  <c:v>Family</c:v>
                </c:pt>
                <c:pt idx="2">
                  <c:v>Introductory</c:v>
                </c:pt>
                <c:pt idx="3">
                  <c:v>Race/Class/Gender</c:v>
                </c:pt>
                <c:pt idx="4">
                  <c:v>Social Psychology</c:v>
                </c:pt>
              </c:strCache>
            </c:strRef>
          </c:cat>
          <c:val>
            <c:numRef>
              <c:f>PivotTable!$I$6:$I$11</c:f>
              <c:numCache>
                <c:formatCode>_("$"* #,##0_);_("$"* \(#,##0\);_("$"* "-"??_);_(@_)</c:formatCode>
                <c:ptCount val="5"/>
                <c:pt idx="0">
                  <c:v>420614.10000000003</c:v>
                </c:pt>
                <c:pt idx="1">
                  <c:v>394555.80000000005</c:v>
                </c:pt>
                <c:pt idx="2">
                  <c:v>453048.2</c:v>
                </c:pt>
                <c:pt idx="3">
                  <c:v>714892.9</c:v>
                </c:pt>
                <c:pt idx="4">
                  <c:v>732999.10000000009</c:v>
                </c:pt>
              </c:numCache>
            </c:numRef>
          </c:val>
          <c:extLst>
            <c:ext xmlns:c16="http://schemas.microsoft.com/office/drawing/2014/chart" uri="{C3380CC4-5D6E-409C-BE32-E72D297353CC}">
              <c16:uniqueId val="{00000057-38D4-2843-A452-080CC9D6C1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2</xdr:col>
      <xdr:colOff>619126</xdr:colOff>
      <xdr:row>21</xdr:row>
      <xdr:rowOff>114300</xdr:rowOff>
    </xdr:to>
    <mc:AlternateContent xmlns:mc="http://schemas.openxmlformats.org/markup-compatibility/2006" xmlns:a14="http://schemas.microsoft.com/office/drawing/2010/main">
      <mc:Choice Requires="a14">
        <xdr:graphicFrame macro="">
          <xdr:nvGraphicFramePr>
            <xdr:cNvPr id="2" name="Discipline">
              <a:extLst>
                <a:ext uri="{FF2B5EF4-FFF2-40B4-BE49-F238E27FC236}">
                  <a16:creationId xmlns:a16="http://schemas.microsoft.com/office/drawing/2014/main" id="{3EB53AA5-F3B3-5FB1-8F8B-395676E7076E}"/>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0" y="2298700"/>
              <a:ext cx="2943226"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12</xdr:row>
      <xdr:rowOff>0</xdr:rowOff>
    </xdr:from>
    <xdr:to>
      <xdr:col>6</xdr:col>
      <xdr:colOff>1079500</xdr:colOff>
      <xdr:row>26</xdr:row>
      <xdr:rowOff>76200</xdr:rowOff>
    </xdr:to>
    <xdr:graphicFrame macro="">
      <xdr:nvGraphicFramePr>
        <xdr:cNvPr id="5" name="SalesByDisc">
          <a:extLst>
            <a:ext uri="{FF2B5EF4-FFF2-40B4-BE49-F238E27FC236}">
              <a16:creationId xmlns:a16="http://schemas.microsoft.com/office/drawing/2014/main" id="{8E31B16E-CE0B-DD4D-912E-B96FA6C0A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ploring%202022/Chapter%2005/0.0%20Graders/HOE/e05h4Sociolog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s"/>
      <sheetName val="Disciplines"/>
      <sheetName val="Editors"/>
      <sheetName val="Mac"/>
    </sheetNames>
    <sheetDataSet>
      <sheetData sheetId="0">
        <row r="1">
          <cell r="K1">
            <v>1.3</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hapra" refreshedDate="46061.730852430555" createdVersion="8" refreshedVersion="8" minRefreshableVersion="3" recordCount="32" xr:uid="{98C38623-A0E2-F449-8BA8-164E87C7A1F5}">
  <cacheSource type="worksheet">
    <worksheetSource ref="A4:L36" sheet="Books Data"/>
  </cacheSource>
  <cacheFields count="13">
    <cacheField name="Discipline" numFmtId="0">
      <sharedItems count="5">
        <s v="Race/Class/Gender"/>
        <s v="Social Psychology"/>
        <s v="Aging/Death"/>
        <s v="Introductory"/>
        <s v="Family"/>
      </sharedItems>
    </cacheField>
    <cacheField name="Area" numFmtId="0">
      <sharedItems/>
    </cacheField>
    <cacheField name="Book Title" numFmtId="0">
      <sharedItems/>
    </cacheField>
    <cacheField name="Edition" numFmtId="0">
      <sharedItems containsSemiMixedTypes="0" containsString="0" containsNumber="1" containsInteger="1" minValue="1" maxValue="10" count="8">
        <n v="10"/>
        <n v="5"/>
        <n v="1"/>
        <n v="2"/>
        <n v="7"/>
        <n v="4"/>
        <n v="3"/>
        <n v="8"/>
      </sharedItems>
    </cacheField>
    <cacheField name="Copyright" numFmtId="0">
      <sharedItems containsSemiMixedTypes="0" containsString="0" containsNumber="1" containsInteger="1" minValue="2022" maxValue="2025" count="4">
        <n v="2024"/>
        <n v="2025"/>
        <n v="2023"/>
        <n v="2022"/>
      </sharedItems>
    </cacheField>
    <cacheField name="Units Sold Wholesale" numFmtId="165">
      <sharedItems containsSemiMixedTypes="0" containsString="0" containsNumber="1" containsInteger="1" minValue="4500" maxValue="37400"/>
    </cacheField>
    <cacheField name="Unit Price Wholesale" numFmtId="164">
      <sharedItems containsSemiMixedTypes="0" containsString="0" containsNumber="1" containsInteger="1" minValue="55" maxValue="135"/>
    </cacheField>
    <cacheField name="Sales: Wholesale" numFmtId="164">
      <sharedItems containsSemiMixedTypes="0" containsString="0" containsNumber="1" containsInteger="1" minValue="405000" maxValue="3740000"/>
    </cacheField>
    <cacheField name="Units Sold Retail" numFmtId="165">
      <sharedItems containsSemiMixedTypes="0" containsString="0" containsNumber="1" containsInteger="1" minValue="11" maxValue="2375"/>
    </cacheField>
    <cacheField name="Unit Price Retail" numFmtId="164">
      <sharedItems containsSemiMixedTypes="0" containsString="0" containsNumber="1" containsInteger="1" minValue="69" maxValue="169"/>
    </cacheField>
    <cacheField name="Sales: _x000a_Retail" numFmtId="164">
      <sharedItems containsSemiMixedTypes="0" containsString="0" containsNumber="1" containsInteger="1" minValue="1166" maxValue="282625"/>
    </cacheField>
    <cacheField name="Total Book Sales" numFmtId="164">
      <sharedItems containsSemiMixedTypes="0" containsString="0" containsNumber="1" containsInteger="1" minValue="421046" maxValue="3865000"/>
    </cacheField>
    <cacheField name="Author Royalties" numFmtId="0" formula="'Total Book Sales'*0.1" databaseField="0"/>
  </cacheFields>
  <extLst>
    <ext xmlns:x14="http://schemas.microsoft.com/office/spreadsheetml/2009/9/main" uri="{725AE2AE-9491-48be-B2B4-4EB974FC3084}">
      <x14:pivotCacheDefinition pivotCacheId="708969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Race/Ethnicity"/>
    <s v="America: Diversity in Race and Ethnicity"/>
    <x v="0"/>
    <x v="0"/>
    <n v="18500"/>
    <n v="115"/>
    <n v="2127500"/>
    <n v="245"/>
    <n v="144"/>
    <n v="35280"/>
    <n v="2162780"/>
  </r>
  <r>
    <x v="1"/>
    <s v="General"/>
    <s v="An Introduction to Symbolic Interactionism"/>
    <x v="1"/>
    <x v="1"/>
    <n v="18750"/>
    <n v="135"/>
    <n v="2531250"/>
    <n v="1023"/>
    <n v="169"/>
    <n v="172887"/>
    <n v="2704137"/>
  </r>
  <r>
    <x v="0"/>
    <s v="Race/Ethnicity"/>
    <s v="Bridging the Gap in Racial Groups"/>
    <x v="0"/>
    <x v="1"/>
    <n v="25750"/>
    <n v="125"/>
    <n v="3218750"/>
    <n v="1234"/>
    <n v="156"/>
    <n v="192504"/>
    <n v="3411254"/>
  </r>
  <r>
    <x v="0"/>
    <s v="Race/Ethnicity"/>
    <s v="Changes and Challenges in the U.S."/>
    <x v="1"/>
    <x v="2"/>
    <n v="5500"/>
    <n v="90"/>
    <n v="495000"/>
    <n v="114"/>
    <n v="113"/>
    <n v="12882"/>
    <n v="507882"/>
  </r>
  <r>
    <x v="2"/>
    <s v="Sociology of Aging"/>
    <s v="Concerns and Issues in Aging"/>
    <x v="2"/>
    <x v="1"/>
    <n v="5387"/>
    <n v="85"/>
    <n v="457895"/>
    <n v="34"/>
    <n v="106"/>
    <n v="3604"/>
    <n v="461499"/>
  </r>
  <r>
    <x v="3"/>
    <s v="General"/>
    <s v="Contemporary Sociology"/>
    <x v="2"/>
    <x v="1"/>
    <n v="37400"/>
    <n v="100"/>
    <n v="3740000"/>
    <n v="1000"/>
    <n v="125"/>
    <n v="125000"/>
    <n v="3865000"/>
  </r>
  <r>
    <x v="3"/>
    <s v="General"/>
    <s v="Contemporary Sociology: Brief Edition"/>
    <x v="2"/>
    <x v="1"/>
    <n v="11983"/>
    <n v="55"/>
    <n v="659065"/>
    <n v="93"/>
    <n v="69"/>
    <n v="6417"/>
    <n v="665482"/>
  </r>
  <r>
    <x v="2"/>
    <s v="Death and Dying"/>
    <s v="Death in Society"/>
    <x v="3"/>
    <x v="3"/>
    <n v="25000"/>
    <n v="105"/>
    <n v="2625000"/>
    <n v="123"/>
    <n v="131"/>
    <n v="16113"/>
    <n v="2641113"/>
  </r>
  <r>
    <x v="4"/>
    <s v="Marriage and Family"/>
    <s v="Diversity and Change in Today's Marriages"/>
    <x v="4"/>
    <x v="0"/>
    <n v="14398"/>
    <n v="90"/>
    <n v="1295820"/>
    <n v="212"/>
    <n v="113"/>
    <n v="23956"/>
    <n v="1319776"/>
  </r>
  <r>
    <x v="4"/>
    <s v="Family Interaction"/>
    <s v="Family Dynamics: A Modern Perspective"/>
    <x v="5"/>
    <x v="0"/>
    <n v="9575"/>
    <n v="85"/>
    <n v="813875"/>
    <n v="43"/>
    <n v="106"/>
    <n v="4558"/>
    <n v="818433"/>
  </r>
  <r>
    <x v="4"/>
    <s v="Family Interaction"/>
    <s v="Family Interactions: A Developmental Approach"/>
    <x v="6"/>
    <x v="2"/>
    <n v="12000"/>
    <n v="115"/>
    <n v="1380000"/>
    <n v="155"/>
    <n v="144"/>
    <n v="22320"/>
    <n v="1402320"/>
  </r>
  <r>
    <x v="0"/>
    <s v="Gender Issues"/>
    <s v="Gender Psychology"/>
    <x v="5"/>
    <x v="2"/>
    <n v="12345"/>
    <n v="100"/>
    <n v="1234500"/>
    <n v="240"/>
    <n v="125"/>
    <n v="30000"/>
    <n v="1264500"/>
  </r>
  <r>
    <x v="0"/>
    <s v="Human Sexuality"/>
    <s v="Human Sexuality"/>
    <x v="1"/>
    <x v="1"/>
    <n v="21230"/>
    <n v="85"/>
    <n v="1804550"/>
    <n v="1200"/>
    <n v="106"/>
    <n v="127200"/>
    <n v="1931750"/>
  </r>
  <r>
    <x v="2"/>
    <s v="Death and Dying"/>
    <s v="Interpretations in Grief and Loss"/>
    <x v="4"/>
    <x v="1"/>
    <n v="32400"/>
    <n v="110"/>
    <n v="3564000"/>
    <n v="1309"/>
    <n v="138"/>
    <n v="180642"/>
    <n v="3744642"/>
  </r>
  <r>
    <x v="0"/>
    <s v="Gender Issues"/>
    <s v="Introduction to Gender Issues"/>
    <x v="2"/>
    <x v="1"/>
    <n v="11875"/>
    <n v="135"/>
    <n v="1603125"/>
    <n v="1200"/>
    <n v="169"/>
    <n v="202800"/>
    <n v="1805925"/>
  </r>
  <r>
    <x v="3"/>
    <s v="Social Sciences"/>
    <s v="Introduction to Social Sciences"/>
    <x v="3"/>
    <x v="2"/>
    <n v="22418"/>
    <n v="90"/>
    <n v="2017620"/>
    <n v="45"/>
    <n v="113"/>
    <n v="5085"/>
    <n v="2022705"/>
  </r>
  <r>
    <x v="1"/>
    <s v="Symbolic Interactionism"/>
    <s v="Looking at Self and Society"/>
    <x v="6"/>
    <x v="3"/>
    <n v="5321"/>
    <n v="85"/>
    <n v="452285"/>
    <n v="11"/>
    <n v="106"/>
    <n v="1166"/>
    <n v="453451"/>
  </r>
  <r>
    <x v="4"/>
    <s v="Marriage and Family"/>
    <s v="Marriages and Family Matters"/>
    <x v="1"/>
    <x v="1"/>
    <n v="11234"/>
    <n v="125"/>
    <n v="1404250"/>
    <n v="1034"/>
    <n v="156"/>
    <n v="161304"/>
    <n v="1565554"/>
  </r>
  <r>
    <x v="3"/>
    <s v="Social Sciences"/>
    <s v="Modern Approach to Social Science"/>
    <x v="0"/>
    <x v="0"/>
    <n v="18350"/>
    <n v="125"/>
    <n v="2293750"/>
    <n v="142"/>
    <n v="156"/>
    <n v="22152"/>
    <n v="2315902"/>
  </r>
  <r>
    <x v="1"/>
    <s v="General"/>
    <s v="Modern Perspectives on Social Psychology"/>
    <x v="2"/>
    <x v="1"/>
    <n v="25983"/>
    <n v="115"/>
    <n v="2988045"/>
    <n v="853"/>
    <n v="144"/>
    <n v="122832"/>
    <n v="3110877"/>
  </r>
  <r>
    <x v="0"/>
    <s v="Human Sexuality"/>
    <s v="Psychology and  Human Sexuality"/>
    <x v="2"/>
    <x v="0"/>
    <n v="7230"/>
    <n v="85"/>
    <n v="614550"/>
    <n v="115"/>
    <n v="106"/>
    <n v="12190"/>
    <n v="626740"/>
  </r>
  <r>
    <x v="2"/>
    <s v="Sociology of Aging"/>
    <s v="Quality of Life as We Age"/>
    <x v="3"/>
    <x v="0"/>
    <n v="7560"/>
    <n v="80"/>
    <n v="604800"/>
    <n v="69"/>
    <n v="100"/>
    <n v="6900"/>
    <n v="611700"/>
  </r>
  <r>
    <x v="1"/>
    <s v="General"/>
    <s v="Readings in Social Psychology"/>
    <x v="7"/>
    <x v="2"/>
    <n v="15502"/>
    <n v="75"/>
    <n v="1162650"/>
    <n v="73"/>
    <n v="94"/>
    <n v="6862"/>
    <n v="1169512"/>
  </r>
  <r>
    <x v="4"/>
    <s v="Marriage and Family"/>
    <s v="Relationships in Marriages"/>
    <x v="3"/>
    <x v="2"/>
    <n v="4500"/>
    <n v="90"/>
    <n v="405000"/>
    <n v="142"/>
    <n v="113"/>
    <n v="16046"/>
    <n v="421046"/>
  </r>
  <r>
    <x v="1"/>
    <s v="General"/>
    <s v="Social Psychology"/>
    <x v="6"/>
    <x v="3"/>
    <n v="17353"/>
    <n v="105"/>
    <n v="1822065"/>
    <n v="650"/>
    <n v="131"/>
    <n v="85150"/>
    <n v="1907215"/>
  </r>
  <r>
    <x v="3"/>
    <s v="General"/>
    <s v="Sociology: An Introduction"/>
    <x v="7"/>
    <x v="0"/>
    <n v="32123"/>
    <n v="95"/>
    <n v="3051685"/>
    <n v="2375"/>
    <n v="119"/>
    <n v="282625"/>
    <n v="3334310"/>
  </r>
  <r>
    <x v="1"/>
    <s v="Symbolic Interactionism"/>
    <s v="Symbolic Interactionism: An Introduction"/>
    <x v="4"/>
    <x v="0"/>
    <n v="18950"/>
    <n v="125"/>
    <n v="2368750"/>
    <n v="1654"/>
    <n v="156"/>
    <n v="258024"/>
    <n v="2626774"/>
  </r>
  <r>
    <x v="1"/>
    <s v="Symbolic Interactionism"/>
    <s v="Symbolic Interactionism: Brief Edition"/>
    <x v="1"/>
    <x v="1"/>
    <n v="15768"/>
    <n v="95"/>
    <n v="1497960"/>
    <n v="143"/>
    <n v="119"/>
    <n v="17017"/>
    <n v="1514977"/>
  </r>
  <r>
    <x v="2"/>
    <s v="Sociology of Aging"/>
    <s v="The Aging Process"/>
    <x v="5"/>
    <x v="3"/>
    <n v="10432"/>
    <n v="100"/>
    <n v="1043200"/>
    <n v="43"/>
    <n v="125"/>
    <n v="5375"/>
    <n v="1048575"/>
  </r>
  <r>
    <x v="4"/>
    <s v="Family Interaction"/>
    <s v="Trends in Family Interactions"/>
    <x v="0"/>
    <x v="1"/>
    <n v="17500"/>
    <n v="125"/>
    <n v="2187500"/>
    <n v="1234"/>
    <n v="156"/>
    <n v="192504"/>
    <n v="2380004"/>
  </r>
  <r>
    <x v="0"/>
    <s v="Human Sexuality"/>
    <s v="Understanding Human Sexuality"/>
    <x v="6"/>
    <x v="2"/>
    <n v="14000"/>
    <n v="95"/>
    <n v="1330000"/>
    <n v="100"/>
    <n v="119"/>
    <n v="11900"/>
    <n v="1341900"/>
  </r>
  <r>
    <x v="0"/>
    <s v="Gender Issues"/>
    <s v="Women's Studies"/>
    <x v="3"/>
    <x v="0"/>
    <n v="16735"/>
    <n v="75"/>
    <n v="1255125"/>
    <n v="100"/>
    <n v="94"/>
    <n v="9400"/>
    <n v="1264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1C4D1-DA65-BC41-9D87-E73441DD69C7}" name="Total Book Sales"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cipline" colHeaderCaption="Copyright year ">
  <location ref="A3:K11" firstHeaderRow="1" firstDataRow="3" firstDataCol="1" rowPageCount="1" colPageCount="1"/>
  <pivotFields count="13">
    <pivotField axis="axisRow" showAll="0">
      <items count="6">
        <item x="2"/>
        <item x="4"/>
        <item x="3"/>
        <item x="0"/>
        <item x="1"/>
        <item t="default"/>
      </items>
    </pivotField>
    <pivotField showAll="0"/>
    <pivotField showAll="0"/>
    <pivotField axis="axisPage" showAll="0">
      <items count="9">
        <item x="2"/>
        <item x="3"/>
        <item x="6"/>
        <item x="5"/>
        <item x="1"/>
        <item x="4"/>
        <item x="7"/>
        <item x="0"/>
        <item t="default"/>
      </items>
    </pivotField>
    <pivotField axis="axisCol" showAll="0">
      <items count="5">
        <item x="3"/>
        <item x="2"/>
        <item x="0"/>
        <item x="1"/>
        <item t="default"/>
      </items>
    </pivotField>
    <pivotField numFmtId="165" showAll="0"/>
    <pivotField numFmtId="164" showAll="0"/>
    <pivotField numFmtId="164" showAll="0"/>
    <pivotField numFmtId="165" showAll="0"/>
    <pivotField numFmtId="164" showAll="0"/>
    <pivotField numFmtId="164" showAll="0"/>
    <pivotField dataField="1" numFmtId="164" showAll="0"/>
    <pivotField dataField="1" dragToRow="0" dragToCol="0" dragToPage="0" showAll="0" defaultSubtotal="0"/>
  </pivotFields>
  <rowFields count="1">
    <field x="0"/>
  </rowFields>
  <rowItems count="6">
    <i>
      <x/>
    </i>
    <i>
      <x v="1"/>
    </i>
    <i>
      <x v="2"/>
    </i>
    <i>
      <x v="3"/>
    </i>
    <i>
      <x v="4"/>
    </i>
    <i t="grand">
      <x/>
    </i>
  </rowItems>
  <colFields count="2">
    <field x="4"/>
    <field x="-2"/>
  </colFields>
  <colItems count="10">
    <i>
      <x/>
      <x/>
    </i>
    <i r="1" i="1">
      <x v="1"/>
    </i>
    <i>
      <x v="1"/>
      <x/>
    </i>
    <i r="1" i="1">
      <x v="1"/>
    </i>
    <i>
      <x v="2"/>
      <x/>
    </i>
    <i r="1" i="1">
      <x v="1"/>
    </i>
    <i>
      <x v="3"/>
      <x/>
    </i>
    <i r="1" i="1">
      <x v="1"/>
    </i>
    <i t="grand">
      <x/>
    </i>
    <i t="grand" i="1">
      <x/>
    </i>
  </colItems>
  <pageFields count="1">
    <pageField fld="3" hier="-1"/>
  </pageFields>
  <dataFields count="2">
    <dataField name="Sales by discipline " fld="11" showDataAs="percentOfTotal" baseField="0" baseItem="0" numFmtId="10"/>
    <dataField name="Authors' Royalties" fld="12" baseField="0" baseItem="0" numFmtId="164"/>
  </dataFields>
  <formats count="6">
    <format dxfId="10">
      <pivotArea dataOnly="0" labelOnly="1" fieldPosition="0">
        <references count="1">
          <reference field="4" count="0"/>
        </references>
      </pivotArea>
    </format>
    <format dxfId="9">
      <pivotArea dataOnly="0" labelOnly="1" outline="0" fieldPosition="0">
        <references count="2">
          <reference field="4294967294" count="1">
            <x v="1"/>
          </reference>
          <reference field="4" count="1" selected="0">
            <x v="0"/>
          </reference>
        </references>
      </pivotArea>
    </format>
    <format dxfId="8">
      <pivotArea dataOnly="0" labelOnly="1" outline="0" fieldPosition="0">
        <references count="2">
          <reference field="4294967294" count="1">
            <x v="1"/>
          </reference>
          <reference field="4" count="1" selected="0">
            <x v="2"/>
          </reference>
        </references>
      </pivotArea>
    </format>
    <format dxfId="7">
      <pivotArea dataOnly="0" labelOnly="1" outline="0" fieldPosition="0">
        <references count="2">
          <reference field="4294967294" count="1">
            <x v="1"/>
          </reference>
          <reference field="4" count="1" selected="0">
            <x v="1"/>
          </reference>
        </references>
      </pivotArea>
    </format>
    <format dxfId="6">
      <pivotArea dataOnly="0" labelOnly="1" outline="0" fieldPosition="0">
        <references count="2">
          <reference field="4294967294" count="1">
            <x v="1"/>
          </reference>
          <reference field="4" count="1" selected="0">
            <x v="3"/>
          </reference>
        </references>
      </pivotArea>
    </format>
    <format dxfId="5">
      <pivotArea outline="0" fieldPosition="0">
        <references count="1">
          <reference field="4294967294" count="1">
            <x v="0"/>
          </reference>
        </references>
      </pivotArea>
    </format>
  </formats>
  <chartFormats count="10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1"/>
          </reference>
          <reference field="4" count="1" selected="0">
            <x v="0"/>
          </reference>
        </references>
      </pivotArea>
    </chartFormat>
    <chartFormat chart="1" format="2" series="1">
      <pivotArea type="data" outline="0" fieldPosition="0">
        <references count="2">
          <reference field="4294967294" count="1" selected="0">
            <x v="0"/>
          </reference>
          <reference field="4" count="1" selected="0">
            <x v="1"/>
          </reference>
        </references>
      </pivotArea>
    </chartFormat>
    <chartFormat chart="1" format="3" series="1">
      <pivotArea type="data" outline="0" fieldPosition="0">
        <references count="2">
          <reference field="4294967294" count="1" selected="0">
            <x v="1"/>
          </reference>
          <reference field="4" count="1" selected="0">
            <x v="1"/>
          </reference>
        </references>
      </pivotArea>
    </chartFormat>
    <chartFormat chart="1" format="4" series="1">
      <pivotArea type="data" outline="0" fieldPosition="0">
        <references count="2">
          <reference field="4294967294" count="1" selected="0">
            <x v="0"/>
          </reference>
          <reference field="4" count="1" selected="0">
            <x v="2"/>
          </reference>
        </references>
      </pivotArea>
    </chartFormat>
    <chartFormat chart="1" format="5" series="1">
      <pivotArea type="data" outline="0" fieldPosition="0">
        <references count="2">
          <reference field="4294967294" count="1" selected="0">
            <x v="1"/>
          </reference>
          <reference field="4" count="1" selected="0">
            <x v="2"/>
          </reference>
        </references>
      </pivotArea>
    </chartFormat>
    <chartFormat chart="1" format="6" series="1">
      <pivotArea type="data" outline="0" fieldPosition="0">
        <references count="2">
          <reference field="4294967294" count="1" selected="0">
            <x v="0"/>
          </reference>
          <reference field="4" count="1" selected="0">
            <x v="3"/>
          </reference>
        </references>
      </pivotArea>
    </chartFormat>
    <chartFormat chart="1" format="7" series="1">
      <pivotArea type="data" outline="0" fieldPosition="0">
        <references count="2">
          <reference field="4294967294" count="1" selected="0">
            <x v="1"/>
          </reference>
          <reference field="4" count="1" selected="0">
            <x v="3"/>
          </reference>
        </references>
      </pivotArea>
    </chartFormat>
    <chartFormat chart="5" format="8" series="1">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3">
          <reference field="4294967294" count="1" selected="0">
            <x v="0"/>
          </reference>
          <reference field="0" count="1" selected="0">
            <x v="0"/>
          </reference>
          <reference field="4" count="1" selected="0">
            <x v="0"/>
          </reference>
        </references>
      </pivotArea>
    </chartFormat>
    <chartFormat chart="5" format="10">
      <pivotArea type="data" outline="0" fieldPosition="0">
        <references count="3">
          <reference field="4294967294" count="1" selected="0">
            <x v="0"/>
          </reference>
          <reference field="0" count="1" selected="0">
            <x v="1"/>
          </reference>
          <reference field="4" count="1" selected="0">
            <x v="0"/>
          </reference>
        </references>
      </pivotArea>
    </chartFormat>
    <chartFormat chart="5" format="11">
      <pivotArea type="data" outline="0" fieldPosition="0">
        <references count="3">
          <reference field="4294967294" count="1" selected="0">
            <x v="0"/>
          </reference>
          <reference field="0" count="1" selected="0">
            <x v="2"/>
          </reference>
          <reference field="4" count="1" selected="0">
            <x v="0"/>
          </reference>
        </references>
      </pivotArea>
    </chartFormat>
    <chartFormat chart="5" format="12">
      <pivotArea type="data" outline="0" fieldPosition="0">
        <references count="3">
          <reference field="4294967294" count="1" selected="0">
            <x v="0"/>
          </reference>
          <reference field="0" count="1" selected="0">
            <x v="3"/>
          </reference>
          <reference field="4" count="1" selected="0">
            <x v="0"/>
          </reference>
        </references>
      </pivotArea>
    </chartFormat>
    <chartFormat chart="5" format="13">
      <pivotArea type="data" outline="0" fieldPosition="0">
        <references count="3">
          <reference field="4294967294" count="1" selected="0">
            <x v="0"/>
          </reference>
          <reference field="0" count="1" selected="0">
            <x v="4"/>
          </reference>
          <reference field="4" count="1" selected="0">
            <x v="0"/>
          </reference>
        </references>
      </pivotArea>
    </chartFormat>
    <chartFormat chart="5" format="14" series="1">
      <pivotArea type="data" outline="0" fieldPosition="0">
        <references count="2">
          <reference field="4294967294" count="1" selected="0">
            <x v="1"/>
          </reference>
          <reference field="4" count="1" selected="0">
            <x v="0"/>
          </reference>
        </references>
      </pivotArea>
    </chartFormat>
    <chartFormat chart="5" format="15">
      <pivotArea type="data" outline="0" fieldPosition="0">
        <references count="3">
          <reference field="4294967294" count="1" selected="0">
            <x v="1"/>
          </reference>
          <reference field="0" count="1" selected="0">
            <x v="0"/>
          </reference>
          <reference field="4" count="1" selected="0">
            <x v="0"/>
          </reference>
        </references>
      </pivotArea>
    </chartFormat>
    <chartFormat chart="5" format="16">
      <pivotArea type="data" outline="0" fieldPosition="0">
        <references count="3">
          <reference field="4294967294" count="1" selected="0">
            <x v="1"/>
          </reference>
          <reference field="0" count="1" selected="0">
            <x v="1"/>
          </reference>
          <reference field="4" count="1" selected="0">
            <x v="0"/>
          </reference>
        </references>
      </pivotArea>
    </chartFormat>
    <chartFormat chart="5" format="17">
      <pivotArea type="data" outline="0" fieldPosition="0">
        <references count="3">
          <reference field="4294967294" count="1" selected="0">
            <x v="1"/>
          </reference>
          <reference field="0" count="1" selected="0">
            <x v="2"/>
          </reference>
          <reference field="4" count="1" selected="0">
            <x v="0"/>
          </reference>
        </references>
      </pivotArea>
    </chartFormat>
    <chartFormat chart="5" format="18">
      <pivotArea type="data" outline="0" fieldPosition="0">
        <references count="3">
          <reference field="4294967294" count="1" selected="0">
            <x v="1"/>
          </reference>
          <reference field="0" count="1" selected="0">
            <x v="3"/>
          </reference>
          <reference field="4" count="1" selected="0">
            <x v="0"/>
          </reference>
        </references>
      </pivotArea>
    </chartFormat>
    <chartFormat chart="5" format="19">
      <pivotArea type="data" outline="0" fieldPosition="0">
        <references count="3">
          <reference field="4294967294" count="1" selected="0">
            <x v="1"/>
          </reference>
          <reference field="0" count="1" selected="0">
            <x v="4"/>
          </reference>
          <reference field="4" count="1" selected="0">
            <x v="0"/>
          </reference>
        </references>
      </pivotArea>
    </chartFormat>
    <chartFormat chart="5" format="20" series="1">
      <pivotArea type="data" outline="0" fieldPosition="0">
        <references count="2">
          <reference field="4294967294" count="1" selected="0">
            <x v="0"/>
          </reference>
          <reference field="4" count="1" selected="0">
            <x v="1"/>
          </reference>
        </references>
      </pivotArea>
    </chartFormat>
    <chartFormat chart="5" format="21">
      <pivotArea type="data" outline="0" fieldPosition="0">
        <references count="3">
          <reference field="4294967294" count="1" selected="0">
            <x v="0"/>
          </reference>
          <reference field="0" count="1" selected="0">
            <x v="0"/>
          </reference>
          <reference field="4" count="1" selected="0">
            <x v="1"/>
          </reference>
        </references>
      </pivotArea>
    </chartFormat>
    <chartFormat chart="5" format="22">
      <pivotArea type="data" outline="0" fieldPosition="0">
        <references count="3">
          <reference field="4294967294" count="1" selected="0">
            <x v="0"/>
          </reference>
          <reference field="0" count="1" selected="0">
            <x v="1"/>
          </reference>
          <reference field="4" count="1" selected="0">
            <x v="1"/>
          </reference>
        </references>
      </pivotArea>
    </chartFormat>
    <chartFormat chart="5" format="23">
      <pivotArea type="data" outline="0" fieldPosition="0">
        <references count="3">
          <reference field="4294967294" count="1" selected="0">
            <x v="0"/>
          </reference>
          <reference field="0" count="1" selected="0">
            <x v="2"/>
          </reference>
          <reference field="4" count="1" selected="0">
            <x v="1"/>
          </reference>
        </references>
      </pivotArea>
    </chartFormat>
    <chartFormat chart="5" format="24">
      <pivotArea type="data" outline="0" fieldPosition="0">
        <references count="3">
          <reference field="4294967294" count="1" selected="0">
            <x v="0"/>
          </reference>
          <reference field="0" count="1" selected="0">
            <x v="3"/>
          </reference>
          <reference field="4" count="1" selected="0">
            <x v="1"/>
          </reference>
        </references>
      </pivotArea>
    </chartFormat>
    <chartFormat chart="5" format="25">
      <pivotArea type="data" outline="0" fieldPosition="0">
        <references count="3">
          <reference field="4294967294" count="1" selected="0">
            <x v="0"/>
          </reference>
          <reference field="0" count="1" selected="0">
            <x v="4"/>
          </reference>
          <reference field="4" count="1" selected="0">
            <x v="1"/>
          </reference>
        </references>
      </pivotArea>
    </chartFormat>
    <chartFormat chart="5" format="26" series="1">
      <pivotArea type="data" outline="0" fieldPosition="0">
        <references count="2">
          <reference field="4294967294" count="1" selected="0">
            <x v="1"/>
          </reference>
          <reference field="4" count="1" selected="0">
            <x v="1"/>
          </reference>
        </references>
      </pivotArea>
    </chartFormat>
    <chartFormat chart="5" format="27">
      <pivotArea type="data" outline="0" fieldPosition="0">
        <references count="3">
          <reference field="4294967294" count="1" selected="0">
            <x v="1"/>
          </reference>
          <reference field="0" count="1" selected="0">
            <x v="0"/>
          </reference>
          <reference field="4" count="1" selected="0">
            <x v="1"/>
          </reference>
        </references>
      </pivotArea>
    </chartFormat>
    <chartFormat chart="5" format="28">
      <pivotArea type="data" outline="0" fieldPosition="0">
        <references count="3">
          <reference field="4294967294" count="1" selected="0">
            <x v="1"/>
          </reference>
          <reference field="0" count="1" selected="0">
            <x v="1"/>
          </reference>
          <reference field="4" count="1" selected="0">
            <x v="1"/>
          </reference>
        </references>
      </pivotArea>
    </chartFormat>
    <chartFormat chart="5" format="29">
      <pivotArea type="data" outline="0" fieldPosition="0">
        <references count="3">
          <reference field="4294967294" count="1" selected="0">
            <x v="1"/>
          </reference>
          <reference field="0" count="1" selected="0">
            <x v="2"/>
          </reference>
          <reference field="4" count="1" selected="0">
            <x v="1"/>
          </reference>
        </references>
      </pivotArea>
    </chartFormat>
    <chartFormat chart="5" format="30">
      <pivotArea type="data" outline="0" fieldPosition="0">
        <references count="3">
          <reference field="4294967294" count="1" selected="0">
            <x v="1"/>
          </reference>
          <reference field="0" count="1" selected="0">
            <x v="3"/>
          </reference>
          <reference field="4" count="1" selected="0">
            <x v="1"/>
          </reference>
        </references>
      </pivotArea>
    </chartFormat>
    <chartFormat chart="5" format="31">
      <pivotArea type="data" outline="0" fieldPosition="0">
        <references count="3">
          <reference field="4294967294" count="1" selected="0">
            <x v="1"/>
          </reference>
          <reference field="0" count="1" selected="0">
            <x v="4"/>
          </reference>
          <reference field="4" count="1" selected="0">
            <x v="1"/>
          </reference>
        </references>
      </pivotArea>
    </chartFormat>
    <chartFormat chart="5" format="32" series="1">
      <pivotArea type="data" outline="0" fieldPosition="0">
        <references count="2">
          <reference field="4294967294" count="1" selected="0">
            <x v="0"/>
          </reference>
          <reference field="4" count="1" selected="0">
            <x v="2"/>
          </reference>
        </references>
      </pivotArea>
    </chartFormat>
    <chartFormat chart="5" format="33">
      <pivotArea type="data" outline="0" fieldPosition="0">
        <references count="3">
          <reference field="4294967294" count="1" selected="0">
            <x v="0"/>
          </reference>
          <reference field="0" count="1" selected="0">
            <x v="0"/>
          </reference>
          <reference field="4" count="1" selected="0">
            <x v="2"/>
          </reference>
        </references>
      </pivotArea>
    </chartFormat>
    <chartFormat chart="5" format="34">
      <pivotArea type="data" outline="0" fieldPosition="0">
        <references count="3">
          <reference field="4294967294" count="1" selected="0">
            <x v="0"/>
          </reference>
          <reference field="0" count="1" selected="0">
            <x v="1"/>
          </reference>
          <reference field="4" count="1" selected="0">
            <x v="2"/>
          </reference>
        </references>
      </pivotArea>
    </chartFormat>
    <chartFormat chart="5" format="35">
      <pivotArea type="data" outline="0" fieldPosition="0">
        <references count="3">
          <reference field="4294967294" count="1" selected="0">
            <x v="0"/>
          </reference>
          <reference field="0" count="1" selected="0">
            <x v="2"/>
          </reference>
          <reference field="4" count="1" selected="0">
            <x v="2"/>
          </reference>
        </references>
      </pivotArea>
    </chartFormat>
    <chartFormat chart="5" format="36">
      <pivotArea type="data" outline="0" fieldPosition="0">
        <references count="3">
          <reference field="4294967294" count="1" selected="0">
            <x v="0"/>
          </reference>
          <reference field="0" count="1" selected="0">
            <x v="3"/>
          </reference>
          <reference field="4" count="1" selected="0">
            <x v="2"/>
          </reference>
        </references>
      </pivotArea>
    </chartFormat>
    <chartFormat chart="5" format="37">
      <pivotArea type="data" outline="0" fieldPosition="0">
        <references count="3">
          <reference field="4294967294" count="1" selected="0">
            <x v="0"/>
          </reference>
          <reference field="0" count="1" selected="0">
            <x v="4"/>
          </reference>
          <reference field="4" count="1" selected="0">
            <x v="2"/>
          </reference>
        </references>
      </pivotArea>
    </chartFormat>
    <chartFormat chart="5" format="38" series="1">
      <pivotArea type="data" outline="0" fieldPosition="0">
        <references count="2">
          <reference field="4294967294" count="1" selected="0">
            <x v="1"/>
          </reference>
          <reference field="4" count="1" selected="0">
            <x v="2"/>
          </reference>
        </references>
      </pivotArea>
    </chartFormat>
    <chartFormat chart="5" format="39">
      <pivotArea type="data" outline="0" fieldPosition="0">
        <references count="3">
          <reference field="4294967294" count="1" selected="0">
            <x v="1"/>
          </reference>
          <reference field="0" count="1" selected="0">
            <x v="0"/>
          </reference>
          <reference field="4" count="1" selected="0">
            <x v="2"/>
          </reference>
        </references>
      </pivotArea>
    </chartFormat>
    <chartFormat chart="5" format="40">
      <pivotArea type="data" outline="0" fieldPosition="0">
        <references count="3">
          <reference field="4294967294" count="1" selected="0">
            <x v="1"/>
          </reference>
          <reference field="0" count="1" selected="0">
            <x v="1"/>
          </reference>
          <reference field="4" count="1" selected="0">
            <x v="2"/>
          </reference>
        </references>
      </pivotArea>
    </chartFormat>
    <chartFormat chart="5" format="41">
      <pivotArea type="data" outline="0" fieldPosition="0">
        <references count="3">
          <reference field="4294967294" count="1" selected="0">
            <x v="1"/>
          </reference>
          <reference field="0" count="1" selected="0">
            <x v="2"/>
          </reference>
          <reference field="4" count="1" selected="0">
            <x v="2"/>
          </reference>
        </references>
      </pivotArea>
    </chartFormat>
    <chartFormat chart="5" format="42">
      <pivotArea type="data" outline="0" fieldPosition="0">
        <references count="3">
          <reference field="4294967294" count="1" selected="0">
            <x v="1"/>
          </reference>
          <reference field="0" count="1" selected="0">
            <x v="3"/>
          </reference>
          <reference field="4" count="1" selected="0">
            <x v="2"/>
          </reference>
        </references>
      </pivotArea>
    </chartFormat>
    <chartFormat chart="5" format="43">
      <pivotArea type="data" outline="0" fieldPosition="0">
        <references count="3">
          <reference field="4294967294" count="1" selected="0">
            <x v="1"/>
          </reference>
          <reference field="0" count="1" selected="0">
            <x v="4"/>
          </reference>
          <reference field="4" count="1" selected="0">
            <x v="2"/>
          </reference>
        </references>
      </pivotArea>
    </chartFormat>
    <chartFormat chart="5" format="44" series="1">
      <pivotArea type="data" outline="0" fieldPosition="0">
        <references count="2">
          <reference field="4294967294" count="1" selected="0">
            <x v="0"/>
          </reference>
          <reference field="4" count="1" selected="0">
            <x v="3"/>
          </reference>
        </references>
      </pivotArea>
    </chartFormat>
    <chartFormat chart="5" format="45">
      <pivotArea type="data" outline="0" fieldPosition="0">
        <references count="3">
          <reference field="4294967294" count="1" selected="0">
            <x v="0"/>
          </reference>
          <reference field="0" count="1" selected="0">
            <x v="0"/>
          </reference>
          <reference field="4" count="1" selected="0">
            <x v="3"/>
          </reference>
        </references>
      </pivotArea>
    </chartFormat>
    <chartFormat chart="5" format="46">
      <pivotArea type="data" outline="0" fieldPosition="0">
        <references count="3">
          <reference field="4294967294" count="1" selected="0">
            <x v="0"/>
          </reference>
          <reference field="0" count="1" selected="0">
            <x v="1"/>
          </reference>
          <reference field="4" count="1" selected="0">
            <x v="3"/>
          </reference>
        </references>
      </pivotArea>
    </chartFormat>
    <chartFormat chart="5" format="47">
      <pivotArea type="data" outline="0" fieldPosition="0">
        <references count="3">
          <reference field="4294967294" count="1" selected="0">
            <x v="0"/>
          </reference>
          <reference field="0" count="1" selected="0">
            <x v="2"/>
          </reference>
          <reference field="4" count="1" selected="0">
            <x v="3"/>
          </reference>
        </references>
      </pivotArea>
    </chartFormat>
    <chartFormat chart="5" format="48">
      <pivotArea type="data" outline="0" fieldPosition="0">
        <references count="3">
          <reference field="4294967294" count="1" selected="0">
            <x v="0"/>
          </reference>
          <reference field="0" count="1" selected="0">
            <x v="3"/>
          </reference>
          <reference field="4" count="1" selected="0">
            <x v="3"/>
          </reference>
        </references>
      </pivotArea>
    </chartFormat>
    <chartFormat chart="5" format="49">
      <pivotArea type="data" outline="0" fieldPosition="0">
        <references count="3">
          <reference field="4294967294" count="1" selected="0">
            <x v="0"/>
          </reference>
          <reference field="0" count="1" selected="0">
            <x v="4"/>
          </reference>
          <reference field="4" count="1" selected="0">
            <x v="3"/>
          </reference>
        </references>
      </pivotArea>
    </chartFormat>
    <chartFormat chart="5" format="50" series="1">
      <pivotArea type="data" outline="0" fieldPosition="0">
        <references count="2">
          <reference field="4294967294" count="1" selected="0">
            <x v="1"/>
          </reference>
          <reference field="4" count="1" selected="0">
            <x v="3"/>
          </reference>
        </references>
      </pivotArea>
    </chartFormat>
    <chartFormat chart="5" format="51">
      <pivotArea type="data" outline="0" fieldPosition="0">
        <references count="3">
          <reference field="4294967294" count="1" selected="0">
            <x v="1"/>
          </reference>
          <reference field="0" count="1" selected="0">
            <x v="0"/>
          </reference>
          <reference field="4" count="1" selected="0">
            <x v="3"/>
          </reference>
        </references>
      </pivotArea>
    </chartFormat>
    <chartFormat chart="5" format="52">
      <pivotArea type="data" outline="0" fieldPosition="0">
        <references count="3">
          <reference field="4294967294" count="1" selected="0">
            <x v="1"/>
          </reference>
          <reference field="0" count="1" selected="0">
            <x v="1"/>
          </reference>
          <reference field="4" count="1" selected="0">
            <x v="3"/>
          </reference>
        </references>
      </pivotArea>
    </chartFormat>
    <chartFormat chart="5" format="53">
      <pivotArea type="data" outline="0" fieldPosition="0">
        <references count="3">
          <reference field="4294967294" count="1" selected="0">
            <x v="1"/>
          </reference>
          <reference field="0" count="1" selected="0">
            <x v="2"/>
          </reference>
          <reference field="4" count="1" selected="0">
            <x v="3"/>
          </reference>
        </references>
      </pivotArea>
    </chartFormat>
    <chartFormat chart="5" format="54">
      <pivotArea type="data" outline="0" fieldPosition="0">
        <references count="3">
          <reference field="4294967294" count="1" selected="0">
            <x v="1"/>
          </reference>
          <reference field="0" count="1" selected="0">
            <x v="3"/>
          </reference>
          <reference field="4" count="1" selected="0">
            <x v="3"/>
          </reference>
        </references>
      </pivotArea>
    </chartFormat>
    <chartFormat chart="5" format="55">
      <pivotArea type="data" outline="0" fieldPosition="0">
        <references count="3">
          <reference field="4294967294" count="1" selected="0">
            <x v="1"/>
          </reference>
          <reference field="0" count="1" selected="0">
            <x v="4"/>
          </reference>
          <reference field="4" count="1" selected="0">
            <x v="3"/>
          </reference>
        </references>
      </pivotArea>
    </chartFormat>
    <chartFormat chart="6" format="56" series="1">
      <pivotArea type="data" outline="0" fieldPosition="0">
        <references count="2">
          <reference field="4294967294" count="1" selected="0">
            <x v="0"/>
          </reference>
          <reference field="4" count="1" selected="0">
            <x v="0"/>
          </reference>
        </references>
      </pivotArea>
    </chartFormat>
    <chartFormat chart="6" format="57">
      <pivotArea type="data" outline="0" fieldPosition="0">
        <references count="3">
          <reference field="4294967294" count="1" selected="0">
            <x v="0"/>
          </reference>
          <reference field="0" count="1" selected="0">
            <x v="0"/>
          </reference>
          <reference field="4" count="1" selected="0">
            <x v="0"/>
          </reference>
        </references>
      </pivotArea>
    </chartFormat>
    <chartFormat chart="6" format="58">
      <pivotArea type="data" outline="0" fieldPosition="0">
        <references count="3">
          <reference field="4294967294" count="1" selected="0">
            <x v="0"/>
          </reference>
          <reference field="0" count="1" selected="0">
            <x v="1"/>
          </reference>
          <reference field="4" count="1" selected="0">
            <x v="0"/>
          </reference>
        </references>
      </pivotArea>
    </chartFormat>
    <chartFormat chart="6" format="59">
      <pivotArea type="data" outline="0" fieldPosition="0">
        <references count="3">
          <reference field="4294967294" count="1" selected="0">
            <x v="0"/>
          </reference>
          <reference field="0" count="1" selected="0">
            <x v="2"/>
          </reference>
          <reference field="4" count="1" selected="0">
            <x v="0"/>
          </reference>
        </references>
      </pivotArea>
    </chartFormat>
    <chartFormat chart="6" format="60">
      <pivotArea type="data" outline="0" fieldPosition="0">
        <references count="3">
          <reference field="4294967294" count="1" selected="0">
            <x v="0"/>
          </reference>
          <reference field="0" count="1" selected="0">
            <x v="3"/>
          </reference>
          <reference field="4" count="1" selected="0">
            <x v="0"/>
          </reference>
        </references>
      </pivotArea>
    </chartFormat>
    <chartFormat chart="6" format="61">
      <pivotArea type="data" outline="0" fieldPosition="0">
        <references count="3">
          <reference field="4294967294" count="1" selected="0">
            <x v="0"/>
          </reference>
          <reference field="0" count="1" selected="0">
            <x v="4"/>
          </reference>
          <reference field="4" count="1" selected="0">
            <x v="0"/>
          </reference>
        </references>
      </pivotArea>
    </chartFormat>
    <chartFormat chart="6" format="62" series="1">
      <pivotArea type="data" outline="0" fieldPosition="0">
        <references count="2">
          <reference field="4294967294" count="1" selected="0">
            <x v="1"/>
          </reference>
          <reference field="4" count="1" selected="0">
            <x v="0"/>
          </reference>
        </references>
      </pivotArea>
    </chartFormat>
    <chartFormat chart="6" format="63">
      <pivotArea type="data" outline="0" fieldPosition="0">
        <references count="3">
          <reference field="4294967294" count="1" selected="0">
            <x v="1"/>
          </reference>
          <reference field="0" count="1" selected="0">
            <x v="0"/>
          </reference>
          <reference field="4" count="1" selected="0">
            <x v="0"/>
          </reference>
        </references>
      </pivotArea>
    </chartFormat>
    <chartFormat chart="6" format="64">
      <pivotArea type="data" outline="0" fieldPosition="0">
        <references count="3">
          <reference field="4294967294" count="1" selected="0">
            <x v="1"/>
          </reference>
          <reference field="0" count="1" selected="0">
            <x v="1"/>
          </reference>
          <reference field="4" count="1" selected="0">
            <x v="0"/>
          </reference>
        </references>
      </pivotArea>
    </chartFormat>
    <chartFormat chart="6" format="65">
      <pivotArea type="data" outline="0" fieldPosition="0">
        <references count="3">
          <reference field="4294967294" count="1" selected="0">
            <x v="1"/>
          </reference>
          <reference field="0" count="1" selected="0">
            <x v="2"/>
          </reference>
          <reference field="4" count="1" selected="0">
            <x v="0"/>
          </reference>
        </references>
      </pivotArea>
    </chartFormat>
    <chartFormat chart="6" format="66">
      <pivotArea type="data" outline="0" fieldPosition="0">
        <references count="3">
          <reference field="4294967294" count="1" selected="0">
            <x v="1"/>
          </reference>
          <reference field="0" count="1" selected="0">
            <x v="3"/>
          </reference>
          <reference field="4" count="1" selected="0">
            <x v="0"/>
          </reference>
        </references>
      </pivotArea>
    </chartFormat>
    <chartFormat chart="6" format="67">
      <pivotArea type="data" outline="0" fieldPosition="0">
        <references count="3">
          <reference field="4294967294" count="1" selected="0">
            <x v="1"/>
          </reference>
          <reference field="0" count="1" selected="0">
            <x v="4"/>
          </reference>
          <reference field="4" count="1" selected="0">
            <x v="0"/>
          </reference>
        </references>
      </pivotArea>
    </chartFormat>
    <chartFormat chart="6" format="68" series="1">
      <pivotArea type="data" outline="0" fieldPosition="0">
        <references count="2">
          <reference field="4294967294" count="1" selected="0">
            <x v="0"/>
          </reference>
          <reference field="4" count="1" selected="0">
            <x v="1"/>
          </reference>
        </references>
      </pivotArea>
    </chartFormat>
    <chartFormat chart="6" format="69">
      <pivotArea type="data" outline="0" fieldPosition="0">
        <references count="3">
          <reference field="4294967294" count="1" selected="0">
            <x v="0"/>
          </reference>
          <reference field="0" count="1" selected="0">
            <x v="0"/>
          </reference>
          <reference field="4" count="1" selected="0">
            <x v="1"/>
          </reference>
        </references>
      </pivotArea>
    </chartFormat>
    <chartFormat chart="6" format="70">
      <pivotArea type="data" outline="0" fieldPosition="0">
        <references count="3">
          <reference field="4294967294" count="1" selected="0">
            <x v="0"/>
          </reference>
          <reference field="0" count="1" selected="0">
            <x v="1"/>
          </reference>
          <reference field="4" count="1" selected="0">
            <x v="1"/>
          </reference>
        </references>
      </pivotArea>
    </chartFormat>
    <chartFormat chart="6" format="71">
      <pivotArea type="data" outline="0" fieldPosition="0">
        <references count="3">
          <reference field="4294967294" count="1" selected="0">
            <x v="0"/>
          </reference>
          <reference field="0" count="1" selected="0">
            <x v="2"/>
          </reference>
          <reference field="4" count="1" selected="0">
            <x v="1"/>
          </reference>
        </references>
      </pivotArea>
    </chartFormat>
    <chartFormat chart="6" format="72">
      <pivotArea type="data" outline="0" fieldPosition="0">
        <references count="3">
          <reference field="4294967294" count="1" selected="0">
            <x v="0"/>
          </reference>
          <reference field="0" count="1" selected="0">
            <x v="3"/>
          </reference>
          <reference field="4" count="1" selected="0">
            <x v="1"/>
          </reference>
        </references>
      </pivotArea>
    </chartFormat>
    <chartFormat chart="6" format="73">
      <pivotArea type="data" outline="0" fieldPosition="0">
        <references count="3">
          <reference field="4294967294" count="1" selected="0">
            <x v="0"/>
          </reference>
          <reference field="0" count="1" selected="0">
            <x v="4"/>
          </reference>
          <reference field="4" count="1" selected="0">
            <x v="1"/>
          </reference>
        </references>
      </pivotArea>
    </chartFormat>
    <chartFormat chart="6" format="74" series="1">
      <pivotArea type="data" outline="0" fieldPosition="0">
        <references count="2">
          <reference field="4294967294" count="1" selected="0">
            <x v="1"/>
          </reference>
          <reference field="4" count="1" selected="0">
            <x v="1"/>
          </reference>
        </references>
      </pivotArea>
    </chartFormat>
    <chartFormat chart="6" format="75">
      <pivotArea type="data" outline="0" fieldPosition="0">
        <references count="3">
          <reference field="4294967294" count="1" selected="0">
            <x v="1"/>
          </reference>
          <reference field="0" count="1" selected="0">
            <x v="0"/>
          </reference>
          <reference field="4" count="1" selected="0">
            <x v="1"/>
          </reference>
        </references>
      </pivotArea>
    </chartFormat>
    <chartFormat chart="6" format="76">
      <pivotArea type="data" outline="0" fieldPosition="0">
        <references count="3">
          <reference field="4294967294" count="1" selected="0">
            <x v="1"/>
          </reference>
          <reference field="0" count="1" selected="0">
            <x v="1"/>
          </reference>
          <reference field="4" count="1" selected="0">
            <x v="1"/>
          </reference>
        </references>
      </pivotArea>
    </chartFormat>
    <chartFormat chart="6" format="77">
      <pivotArea type="data" outline="0" fieldPosition="0">
        <references count="3">
          <reference field="4294967294" count="1" selected="0">
            <x v="1"/>
          </reference>
          <reference field="0" count="1" selected="0">
            <x v="2"/>
          </reference>
          <reference field="4" count="1" selected="0">
            <x v="1"/>
          </reference>
        </references>
      </pivotArea>
    </chartFormat>
    <chartFormat chart="6" format="78">
      <pivotArea type="data" outline="0" fieldPosition="0">
        <references count="3">
          <reference field="4294967294" count="1" selected="0">
            <x v="1"/>
          </reference>
          <reference field="0" count="1" selected="0">
            <x v="3"/>
          </reference>
          <reference field="4" count="1" selected="0">
            <x v="1"/>
          </reference>
        </references>
      </pivotArea>
    </chartFormat>
    <chartFormat chart="6" format="79">
      <pivotArea type="data" outline="0" fieldPosition="0">
        <references count="3">
          <reference field="4294967294" count="1" selected="0">
            <x v="1"/>
          </reference>
          <reference field="0" count="1" selected="0">
            <x v="4"/>
          </reference>
          <reference field="4" count="1" selected="0">
            <x v="1"/>
          </reference>
        </references>
      </pivotArea>
    </chartFormat>
    <chartFormat chart="6" format="80" series="1">
      <pivotArea type="data" outline="0" fieldPosition="0">
        <references count="2">
          <reference field="4294967294" count="1" selected="0">
            <x v="0"/>
          </reference>
          <reference field="4" count="1" selected="0">
            <x v="2"/>
          </reference>
        </references>
      </pivotArea>
    </chartFormat>
    <chartFormat chart="6" format="81">
      <pivotArea type="data" outline="0" fieldPosition="0">
        <references count="3">
          <reference field="4294967294" count="1" selected="0">
            <x v="0"/>
          </reference>
          <reference field="0" count="1" selected="0">
            <x v="0"/>
          </reference>
          <reference field="4" count="1" selected="0">
            <x v="2"/>
          </reference>
        </references>
      </pivotArea>
    </chartFormat>
    <chartFormat chart="6" format="82">
      <pivotArea type="data" outline="0" fieldPosition="0">
        <references count="3">
          <reference field="4294967294" count="1" selected="0">
            <x v="0"/>
          </reference>
          <reference field="0" count="1" selected="0">
            <x v="1"/>
          </reference>
          <reference field="4" count="1" selected="0">
            <x v="2"/>
          </reference>
        </references>
      </pivotArea>
    </chartFormat>
    <chartFormat chart="6" format="83">
      <pivotArea type="data" outline="0" fieldPosition="0">
        <references count="3">
          <reference field="4294967294" count="1" selected="0">
            <x v="0"/>
          </reference>
          <reference field="0" count="1" selected="0">
            <x v="2"/>
          </reference>
          <reference field="4" count="1" selected="0">
            <x v="2"/>
          </reference>
        </references>
      </pivotArea>
    </chartFormat>
    <chartFormat chart="6" format="84">
      <pivotArea type="data" outline="0" fieldPosition="0">
        <references count="3">
          <reference field="4294967294" count="1" selected="0">
            <x v="0"/>
          </reference>
          <reference field="0" count="1" selected="0">
            <x v="3"/>
          </reference>
          <reference field="4" count="1" selected="0">
            <x v="2"/>
          </reference>
        </references>
      </pivotArea>
    </chartFormat>
    <chartFormat chart="6" format="85">
      <pivotArea type="data" outline="0" fieldPosition="0">
        <references count="3">
          <reference field="4294967294" count="1" selected="0">
            <x v="0"/>
          </reference>
          <reference field="0" count="1" selected="0">
            <x v="4"/>
          </reference>
          <reference field="4" count="1" selected="0">
            <x v="2"/>
          </reference>
        </references>
      </pivotArea>
    </chartFormat>
    <chartFormat chart="6" format="86" series="1">
      <pivotArea type="data" outline="0" fieldPosition="0">
        <references count="2">
          <reference field="4294967294" count="1" selected="0">
            <x v="1"/>
          </reference>
          <reference field="4" count="1" selected="0">
            <x v="2"/>
          </reference>
        </references>
      </pivotArea>
    </chartFormat>
    <chartFormat chart="6" format="87">
      <pivotArea type="data" outline="0" fieldPosition="0">
        <references count="3">
          <reference field="4294967294" count="1" selected="0">
            <x v="1"/>
          </reference>
          <reference field="0" count="1" selected="0">
            <x v="0"/>
          </reference>
          <reference field="4" count="1" selected="0">
            <x v="2"/>
          </reference>
        </references>
      </pivotArea>
    </chartFormat>
    <chartFormat chart="6" format="88">
      <pivotArea type="data" outline="0" fieldPosition="0">
        <references count="3">
          <reference field="4294967294" count="1" selected="0">
            <x v="1"/>
          </reference>
          <reference field="0" count="1" selected="0">
            <x v="1"/>
          </reference>
          <reference field="4" count="1" selected="0">
            <x v="2"/>
          </reference>
        </references>
      </pivotArea>
    </chartFormat>
    <chartFormat chart="6" format="89">
      <pivotArea type="data" outline="0" fieldPosition="0">
        <references count="3">
          <reference field="4294967294" count="1" selected="0">
            <x v="1"/>
          </reference>
          <reference field="0" count="1" selected="0">
            <x v="2"/>
          </reference>
          <reference field="4" count="1" selected="0">
            <x v="2"/>
          </reference>
        </references>
      </pivotArea>
    </chartFormat>
    <chartFormat chart="6" format="90">
      <pivotArea type="data" outline="0" fieldPosition="0">
        <references count="3">
          <reference field="4294967294" count="1" selected="0">
            <x v="1"/>
          </reference>
          <reference field="0" count="1" selected="0">
            <x v="3"/>
          </reference>
          <reference field="4" count="1" selected="0">
            <x v="2"/>
          </reference>
        </references>
      </pivotArea>
    </chartFormat>
    <chartFormat chart="6" format="91">
      <pivotArea type="data" outline="0" fieldPosition="0">
        <references count="3">
          <reference field="4294967294" count="1" selected="0">
            <x v="1"/>
          </reference>
          <reference field="0" count="1" selected="0">
            <x v="4"/>
          </reference>
          <reference field="4" count="1" selected="0">
            <x v="2"/>
          </reference>
        </references>
      </pivotArea>
    </chartFormat>
    <chartFormat chart="6" format="92" series="1">
      <pivotArea type="data" outline="0" fieldPosition="0">
        <references count="2">
          <reference field="4294967294" count="1" selected="0">
            <x v="0"/>
          </reference>
          <reference field="4" count="1" selected="0">
            <x v="3"/>
          </reference>
        </references>
      </pivotArea>
    </chartFormat>
    <chartFormat chart="6" format="93">
      <pivotArea type="data" outline="0" fieldPosition="0">
        <references count="3">
          <reference field="4294967294" count="1" selected="0">
            <x v="0"/>
          </reference>
          <reference field="0" count="1" selected="0">
            <x v="0"/>
          </reference>
          <reference field="4" count="1" selected="0">
            <x v="3"/>
          </reference>
        </references>
      </pivotArea>
    </chartFormat>
    <chartFormat chart="6" format="94">
      <pivotArea type="data" outline="0" fieldPosition="0">
        <references count="3">
          <reference field="4294967294" count="1" selected="0">
            <x v="0"/>
          </reference>
          <reference field="0" count="1" selected="0">
            <x v="1"/>
          </reference>
          <reference field="4" count="1" selected="0">
            <x v="3"/>
          </reference>
        </references>
      </pivotArea>
    </chartFormat>
    <chartFormat chart="6" format="95">
      <pivotArea type="data" outline="0" fieldPosition="0">
        <references count="3">
          <reference field="4294967294" count="1" selected="0">
            <x v="0"/>
          </reference>
          <reference field="0" count="1" selected="0">
            <x v="2"/>
          </reference>
          <reference field="4" count="1" selected="0">
            <x v="3"/>
          </reference>
        </references>
      </pivotArea>
    </chartFormat>
    <chartFormat chart="6" format="96">
      <pivotArea type="data" outline="0" fieldPosition="0">
        <references count="3">
          <reference field="4294967294" count="1" selected="0">
            <x v="0"/>
          </reference>
          <reference field="0" count="1" selected="0">
            <x v="3"/>
          </reference>
          <reference field="4" count="1" selected="0">
            <x v="3"/>
          </reference>
        </references>
      </pivotArea>
    </chartFormat>
    <chartFormat chart="6" format="97">
      <pivotArea type="data" outline="0" fieldPosition="0">
        <references count="3">
          <reference field="4294967294" count="1" selected="0">
            <x v="0"/>
          </reference>
          <reference field="0" count="1" selected="0">
            <x v="4"/>
          </reference>
          <reference field="4" count="1" selected="0">
            <x v="3"/>
          </reference>
        </references>
      </pivotArea>
    </chartFormat>
    <chartFormat chart="6" format="98" series="1">
      <pivotArea type="data" outline="0" fieldPosition="0">
        <references count="2">
          <reference field="4294967294" count="1" selected="0">
            <x v="1"/>
          </reference>
          <reference field="4" count="1" selected="0">
            <x v="3"/>
          </reference>
        </references>
      </pivotArea>
    </chartFormat>
    <chartFormat chart="6" format="99">
      <pivotArea type="data" outline="0" fieldPosition="0">
        <references count="3">
          <reference field="4294967294" count="1" selected="0">
            <x v="1"/>
          </reference>
          <reference field="0" count="1" selected="0">
            <x v="0"/>
          </reference>
          <reference field="4" count="1" selected="0">
            <x v="3"/>
          </reference>
        </references>
      </pivotArea>
    </chartFormat>
    <chartFormat chart="6" format="100">
      <pivotArea type="data" outline="0" fieldPosition="0">
        <references count="3">
          <reference field="4294967294" count="1" selected="0">
            <x v="1"/>
          </reference>
          <reference field="0" count="1" selected="0">
            <x v="1"/>
          </reference>
          <reference field="4" count="1" selected="0">
            <x v="3"/>
          </reference>
        </references>
      </pivotArea>
    </chartFormat>
    <chartFormat chart="6" format="101">
      <pivotArea type="data" outline="0" fieldPosition="0">
        <references count="3">
          <reference field="4294967294" count="1" selected="0">
            <x v="1"/>
          </reference>
          <reference field="0" count="1" selected="0">
            <x v="2"/>
          </reference>
          <reference field="4" count="1" selected="0">
            <x v="3"/>
          </reference>
        </references>
      </pivotArea>
    </chartFormat>
    <chartFormat chart="6" format="102">
      <pivotArea type="data" outline="0" fieldPosition="0">
        <references count="3">
          <reference field="4294967294" count="1" selected="0">
            <x v="1"/>
          </reference>
          <reference field="0" count="1" selected="0">
            <x v="3"/>
          </reference>
          <reference field="4" count="1" selected="0">
            <x v="3"/>
          </reference>
        </references>
      </pivotArea>
    </chartFormat>
    <chartFormat chart="6" format="103">
      <pivotArea type="data" outline="0" fieldPosition="0">
        <references count="3">
          <reference field="4294967294" count="1" selected="0">
            <x v="1"/>
          </reference>
          <reference field="0" count="1" selected="0">
            <x v="4"/>
          </reference>
          <reference field="4" count="1" selected="0">
            <x v="3"/>
          </reference>
        </references>
      </pivotArea>
    </chartFormat>
  </chartFormat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F9412C1B-E8E9-3640-B0B6-74FB8F25EB3C}" sourceName="Discipline">
  <pivotTables>
    <pivotTable tabId="7" name="Total Book Sales"/>
  </pivotTables>
  <data>
    <tabular pivotCacheId="708969129">
      <items count="5">
        <i x="2" s="1"/>
        <i x="4"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xr10:uid="{AAB7FAE6-92BD-FE4F-B6FA-93976DDDA990}" cache="Slicer_Discipline" caption="Discipline"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B8F44D-1DA0-4EF7-819B-4B0BCE32961E}" name="BOOKS" displayName="BOOKS" ref="A1:G33" totalsRowShown="0" headerRowDxfId="4">
  <autoFilter ref="A1:G33" xr:uid="{504E95FD-425B-453A-BD51-BBE9BD0CA94F}"/>
  <tableColumns count="7">
    <tableColumn id="1" xr3:uid="{F1F35E87-1C44-4618-AC33-7D36DBC9343E}" name="Discipline Code"/>
    <tableColumn id="2" xr3:uid="{02E37708-7623-4CD6-BE31-B04FEA394C9C}" name="Discipline"/>
    <tableColumn id="3" xr3:uid="{F5D57E35-8C74-4F40-8F7D-40E5D47E6A65}" name="Editor ID"/>
    <tableColumn id="4" xr3:uid="{41802D7B-5F23-4524-82EE-91D7BFF6D0E2}" name="Book Title"/>
    <tableColumn id="5" xr3:uid="{B6C05C8B-657D-4334-8201-3BF0E2799E11}" name="Sales: Wholesale" dataDxfId="3"/>
    <tableColumn id="6" xr3:uid="{AD6D83B0-432D-415C-B536-1418796ECEB6}" name="Sales: _x000a_Retail" dataDxfId="2"/>
    <tableColumn id="7" xr3:uid="{E8EF9FD2-06DF-41CB-AECA-860B9282E1D7}" name="Total Book Sales"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CA816-110C-4E7E-B720-B32DF8F6B3FE}" name="DISCIPLINE" displayName="DISCIPLINE" ref="A1:B6" totalsRowShown="0">
  <autoFilter ref="A1:B6" xr:uid="{00000000-0009-0000-0100-000001000000}"/>
  <tableColumns count="2">
    <tableColumn id="1" xr3:uid="{7A3672DF-3982-4902-B377-9E2C4895AB52}" name="Disc Code"/>
    <tableColumn id="2" xr3:uid="{CA10047C-A1E2-488E-9FF0-9B919BFE8421}" name="Discipli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597C58-7440-49C1-A4AD-D756A0C075B7}" name="EDITOR" displayName="EDITOR" ref="A1:C13" totalsRowShown="0">
  <autoFilter ref="A1:C13" xr:uid="{00000000-0009-0000-0100-000002000000}"/>
  <tableColumns count="3">
    <tableColumn id="1" xr3:uid="{801F5BD9-FFC2-479E-AF02-703A1CBB32D3}" name="Editor ID" dataDxfId="0"/>
    <tableColumn id="2" xr3:uid="{5AD8983E-711C-4B24-B530-51DE87010D1F}" name="Editor Last"/>
    <tableColumn id="3" xr3:uid="{AF6BDBD9-901F-4342-87EA-57EABCAA3B03}" name="Editor Fir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zoomScale="85" workbookViewId="0">
      <pane xSplit="2" ySplit="4" topLeftCell="C5" activePane="bottomRight" state="frozen"/>
      <selection pane="topRight" activeCell="C1" sqref="C1"/>
      <selection pane="bottomLeft" activeCell="A5" sqref="A5"/>
      <selection pane="bottomRight" activeCell="A5" sqref="A5"/>
    </sheetView>
  </sheetViews>
  <sheetFormatPr baseColWidth="10" defaultColWidth="8.83203125" defaultRowHeight="15" outlineLevelRow="3" outlineLevelCol="2" x14ac:dyDescent="0.2"/>
  <cols>
    <col min="1" max="1" width="18.1640625" bestFit="1" customWidth="1"/>
    <col min="2" max="2" width="24" bestFit="1" customWidth="1"/>
    <col min="3" max="3" width="44.33203125" bestFit="1" customWidth="1"/>
    <col min="4" max="4" width="7.33203125" style="1" bestFit="1" customWidth="1"/>
    <col min="5" max="5" width="9.1640625" style="1" customWidth="1"/>
    <col min="6" max="6" width="11" hidden="1" customWidth="1" outlineLevel="2"/>
    <col min="7" max="7" width="12" hidden="1" customWidth="1" outlineLevel="2"/>
    <col min="8" max="8" width="13.6640625" customWidth="1" outlineLevel="1" collapsed="1"/>
    <col min="9" max="9" width="11" hidden="1" customWidth="1" outlineLevel="2"/>
    <col min="10" max="10" width="12" hidden="1" customWidth="1" outlineLevel="2"/>
    <col min="11" max="11" width="13.6640625" customWidth="1" outlineLevel="1" collapsed="1"/>
    <col min="12" max="12" width="13.6640625" customWidth="1"/>
  </cols>
  <sheetData>
    <row r="1" spans="1:12" x14ac:dyDescent="0.2">
      <c r="G1" s="3" t="s">
        <v>57</v>
      </c>
      <c r="J1" s="6">
        <v>1.3</v>
      </c>
    </row>
    <row r="2" spans="1:12" x14ac:dyDescent="0.2">
      <c r="G2" s="3" t="s">
        <v>56</v>
      </c>
      <c r="J2" s="6">
        <v>0.1</v>
      </c>
    </row>
    <row r="3" spans="1:12" x14ac:dyDescent="0.2">
      <c r="J3" s="6"/>
    </row>
    <row r="4" spans="1:12" ht="32" x14ac:dyDescent="0.2">
      <c r="A4" s="7" t="s">
        <v>0</v>
      </c>
      <c r="B4" s="7" t="s">
        <v>1</v>
      </c>
      <c r="C4" s="7" t="s">
        <v>2</v>
      </c>
      <c r="D4" s="8" t="s">
        <v>3</v>
      </c>
      <c r="E4" s="8" t="s">
        <v>4</v>
      </c>
      <c r="F4" s="9" t="s">
        <v>5</v>
      </c>
      <c r="G4" s="9" t="s">
        <v>6</v>
      </c>
      <c r="H4" s="9" t="s">
        <v>53</v>
      </c>
      <c r="I4" s="9" t="s">
        <v>7</v>
      </c>
      <c r="J4" s="9" t="s">
        <v>8</v>
      </c>
      <c r="K4" s="9" t="s">
        <v>55</v>
      </c>
      <c r="L4" s="9" t="s">
        <v>58</v>
      </c>
    </row>
    <row r="5" spans="1:12" outlineLevel="3" x14ac:dyDescent="0.2">
      <c r="A5" s="3" t="s">
        <v>37</v>
      </c>
      <c r="B5" s="3" t="s">
        <v>41</v>
      </c>
      <c r="C5" s="3" t="s">
        <v>43</v>
      </c>
      <c r="D5" s="5">
        <v>2</v>
      </c>
      <c r="E5" s="5">
        <v>2022</v>
      </c>
      <c r="F5" s="10">
        <v>25000</v>
      </c>
      <c r="G5" s="4">
        <v>105</v>
      </c>
      <c r="H5" s="11">
        <f>F5*G5</f>
        <v>2625000</v>
      </c>
      <c r="I5" s="10">
        <v>123</v>
      </c>
      <c r="J5" s="4">
        <f>ROUND(G5*RetailRate,0)</f>
        <v>137</v>
      </c>
      <c r="K5" s="11">
        <f>I5*J5</f>
        <v>16851</v>
      </c>
      <c r="L5" s="12">
        <f>H5+K5</f>
        <v>2641851</v>
      </c>
    </row>
    <row r="6" spans="1:12" outlineLevel="3" x14ac:dyDescent="0.2">
      <c r="A6" s="3" t="s">
        <v>37</v>
      </c>
      <c r="B6" s="3" t="s">
        <v>41</v>
      </c>
      <c r="C6" s="3" t="s">
        <v>44</v>
      </c>
      <c r="D6" s="5">
        <v>7</v>
      </c>
      <c r="E6" s="5">
        <v>2025</v>
      </c>
      <c r="F6" s="10">
        <v>32400</v>
      </c>
      <c r="G6" s="4">
        <v>110</v>
      </c>
      <c r="H6" s="11">
        <f>F6*G6</f>
        <v>3564000</v>
      </c>
      <c r="I6" s="10">
        <v>1309</v>
      </c>
      <c r="J6" s="4">
        <f>ROUND(G6*RetailRate,0)</f>
        <v>143</v>
      </c>
      <c r="K6" s="11">
        <f>I6*J6</f>
        <v>187187</v>
      </c>
      <c r="L6" s="12">
        <f>H6+K6</f>
        <v>3751187</v>
      </c>
    </row>
    <row r="7" spans="1:12" outlineLevel="2" x14ac:dyDescent="0.2">
      <c r="A7" s="3"/>
      <c r="B7" s="17" t="s">
        <v>101</v>
      </c>
      <c r="C7" s="3"/>
      <c r="D7" s="5"/>
      <c r="E7" s="5"/>
      <c r="F7" s="10"/>
      <c r="G7" s="4"/>
      <c r="H7" s="11">
        <f>SUBTOTAL(9,H5:H6)</f>
        <v>6189000</v>
      </c>
      <c r="I7" s="10"/>
      <c r="J7" s="4"/>
      <c r="K7" s="11">
        <f>SUBTOTAL(9,K5:K6)</f>
        <v>204038</v>
      </c>
      <c r="L7" s="12">
        <f>SUBTOTAL(9,L5:L6)</f>
        <v>6393038</v>
      </c>
    </row>
    <row r="8" spans="1:12" outlineLevel="3" x14ac:dyDescent="0.2">
      <c r="A8" s="3" t="s">
        <v>37</v>
      </c>
      <c r="B8" s="3" t="s">
        <v>38</v>
      </c>
      <c r="C8" s="3" t="s">
        <v>39</v>
      </c>
      <c r="D8" s="5">
        <v>1</v>
      </c>
      <c r="E8" s="5">
        <v>2025</v>
      </c>
      <c r="F8" s="10">
        <v>5387</v>
      </c>
      <c r="G8" s="4">
        <v>85</v>
      </c>
      <c r="H8" s="11">
        <f>F8*G8</f>
        <v>457895</v>
      </c>
      <c r="I8" s="10">
        <v>34</v>
      </c>
      <c r="J8" s="4">
        <f>ROUND(G8*RetailRate,0)</f>
        <v>111</v>
      </c>
      <c r="K8" s="11">
        <f>I8*J8</f>
        <v>3774</v>
      </c>
      <c r="L8" s="12">
        <f>H8+K8</f>
        <v>461669</v>
      </c>
    </row>
    <row r="9" spans="1:12" outlineLevel="3" x14ac:dyDescent="0.2">
      <c r="A9" s="3" t="s">
        <v>37</v>
      </c>
      <c r="B9" s="3" t="s">
        <v>38</v>
      </c>
      <c r="C9" s="3" t="s">
        <v>40</v>
      </c>
      <c r="D9" s="5">
        <v>2</v>
      </c>
      <c r="E9" s="5">
        <v>2024</v>
      </c>
      <c r="F9" s="10">
        <v>7560</v>
      </c>
      <c r="G9" s="4">
        <v>80</v>
      </c>
      <c r="H9" s="11">
        <f>F9*G9</f>
        <v>604800</v>
      </c>
      <c r="I9" s="10">
        <v>69</v>
      </c>
      <c r="J9" s="4">
        <f>ROUND(G9*RetailRate,0)</f>
        <v>104</v>
      </c>
      <c r="K9" s="11">
        <f>I9*J9</f>
        <v>7176</v>
      </c>
      <c r="L9" s="12">
        <f>H9+K9</f>
        <v>611976</v>
      </c>
    </row>
    <row r="10" spans="1:12" outlineLevel="3" x14ac:dyDescent="0.2">
      <c r="A10" s="3" t="s">
        <v>37</v>
      </c>
      <c r="B10" s="3" t="s">
        <v>38</v>
      </c>
      <c r="C10" s="3" t="s">
        <v>42</v>
      </c>
      <c r="D10" s="5">
        <v>4</v>
      </c>
      <c r="E10" s="5">
        <v>2022</v>
      </c>
      <c r="F10" s="10">
        <v>10432</v>
      </c>
      <c r="G10" s="4">
        <v>100</v>
      </c>
      <c r="H10" s="11">
        <f>F10*G10</f>
        <v>1043200</v>
      </c>
      <c r="I10" s="10">
        <v>43</v>
      </c>
      <c r="J10" s="4">
        <f>ROUND(G10*RetailRate,0)</f>
        <v>130</v>
      </c>
      <c r="K10" s="11">
        <f>I10*J10</f>
        <v>5590</v>
      </c>
      <c r="L10" s="12">
        <f>H10+K10</f>
        <v>1048790</v>
      </c>
    </row>
    <row r="11" spans="1:12" outlineLevel="2" x14ac:dyDescent="0.2">
      <c r="A11" s="3"/>
      <c r="B11" s="17" t="s">
        <v>102</v>
      </c>
      <c r="C11" s="3"/>
      <c r="D11" s="5"/>
      <c r="E11" s="5"/>
      <c r="F11" s="10"/>
      <c r="G11" s="4"/>
      <c r="H11" s="11">
        <f>SUBTOTAL(9,H8:H10)</f>
        <v>2105895</v>
      </c>
      <c r="I11" s="10"/>
      <c r="J11" s="4"/>
      <c r="K11" s="11">
        <f>SUBTOTAL(9,K8:K10)</f>
        <v>16540</v>
      </c>
      <c r="L11" s="12">
        <f>SUBTOTAL(9,L8:L10)</f>
        <v>2122435</v>
      </c>
    </row>
    <row r="12" spans="1:12" outlineLevel="1" x14ac:dyDescent="0.2">
      <c r="A12" s="17" t="s">
        <v>95</v>
      </c>
      <c r="B12" s="3"/>
      <c r="C12" s="3"/>
      <c r="D12" s="5"/>
      <c r="E12" s="5"/>
      <c r="F12" s="10"/>
      <c r="G12" s="4"/>
      <c r="H12" s="11">
        <f>SUBTOTAL(9,H5:H10)</f>
        <v>8294895</v>
      </c>
      <c r="I12" s="10"/>
      <c r="J12" s="4"/>
      <c r="K12" s="11">
        <f>SUBTOTAL(9,K5:K10)</f>
        <v>220578</v>
      </c>
      <c r="L12" s="12">
        <f>SUBTOTAL(9,L5:L10)</f>
        <v>8515473</v>
      </c>
    </row>
    <row r="13" spans="1:12" outlineLevel="3" x14ac:dyDescent="0.2">
      <c r="A13" s="3" t="s">
        <v>29</v>
      </c>
      <c r="B13" s="3" t="s">
        <v>30</v>
      </c>
      <c r="C13" s="3" t="s">
        <v>32</v>
      </c>
      <c r="D13" s="5">
        <v>4</v>
      </c>
      <c r="E13" s="5">
        <v>2024</v>
      </c>
      <c r="F13" s="10">
        <v>9575</v>
      </c>
      <c r="G13" s="4">
        <v>85</v>
      </c>
      <c r="H13" s="11">
        <f>F13*G13</f>
        <v>813875</v>
      </c>
      <c r="I13" s="10">
        <v>43</v>
      </c>
      <c r="J13" s="4">
        <f>ROUND(G13*RetailRate,0)</f>
        <v>111</v>
      </c>
      <c r="K13" s="11">
        <f>I13*J13</f>
        <v>4773</v>
      </c>
      <c r="L13" s="12">
        <f>H13+K13</f>
        <v>818648</v>
      </c>
    </row>
    <row r="14" spans="1:12" outlineLevel="3" x14ac:dyDescent="0.2">
      <c r="A14" s="3" t="s">
        <v>29</v>
      </c>
      <c r="B14" s="3" t="s">
        <v>30</v>
      </c>
      <c r="C14" s="3" t="s">
        <v>54</v>
      </c>
      <c r="D14" s="5">
        <v>3</v>
      </c>
      <c r="E14" s="5">
        <v>2023</v>
      </c>
      <c r="F14" s="10">
        <v>12000</v>
      </c>
      <c r="G14" s="4">
        <v>115</v>
      </c>
      <c r="H14" s="11">
        <f>F14*G14</f>
        <v>1380000</v>
      </c>
      <c r="I14" s="10">
        <v>155</v>
      </c>
      <c r="J14" s="4">
        <f>ROUND(G14*RetailRate,0)</f>
        <v>150</v>
      </c>
      <c r="K14" s="11">
        <f>I14*J14</f>
        <v>23250</v>
      </c>
      <c r="L14" s="12">
        <f>H14+K14</f>
        <v>1403250</v>
      </c>
    </row>
    <row r="15" spans="1:12" outlineLevel="3" x14ac:dyDescent="0.2">
      <c r="A15" s="3" t="s">
        <v>29</v>
      </c>
      <c r="B15" s="3" t="s">
        <v>30</v>
      </c>
      <c r="C15" s="3" t="s">
        <v>31</v>
      </c>
      <c r="D15" s="5">
        <v>10</v>
      </c>
      <c r="E15" s="5">
        <v>2025</v>
      </c>
      <c r="F15" s="10">
        <v>17500</v>
      </c>
      <c r="G15" s="4">
        <v>125</v>
      </c>
      <c r="H15" s="11">
        <f>F15*G15</f>
        <v>2187500</v>
      </c>
      <c r="I15" s="10">
        <v>1234</v>
      </c>
      <c r="J15" s="4">
        <f>ROUND(G15*RetailRate,0)</f>
        <v>163</v>
      </c>
      <c r="K15" s="11">
        <f>I15*J15</f>
        <v>201142</v>
      </c>
      <c r="L15" s="12">
        <f>H15+K15</f>
        <v>2388642</v>
      </c>
    </row>
    <row r="16" spans="1:12" outlineLevel="2" x14ac:dyDescent="0.2">
      <c r="A16" s="3"/>
      <c r="B16" s="17" t="s">
        <v>103</v>
      </c>
      <c r="C16" s="3"/>
      <c r="D16" s="5"/>
      <c r="E16" s="5"/>
      <c r="F16" s="10"/>
      <c r="G16" s="4"/>
      <c r="H16" s="11">
        <f>SUBTOTAL(9,H13:H15)</f>
        <v>4381375</v>
      </c>
      <c r="I16" s="10"/>
      <c r="J16" s="4"/>
      <c r="K16" s="11">
        <f>SUBTOTAL(9,K13:K15)</f>
        <v>229165</v>
      </c>
      <c r="L16" s="12">
        <f>SUBTOTAL(9,L13:L15)</f>
        <v>4610540</v>
      </c>
    </row>
    <row r="17" spans="1:12" outlineLevel="3" x14ac:dyDescent="0.2">
      <c r="A17" s="3" t="s">
        <v>29</v>
      </c>
      <c r="B17" s="3" t="s">
        <v>33</v>
      </c>
      <c r="C17" s="3" t="s">
        <v>36</v>
      </c>
      <c r="D17" s="5">
        <v>7</v>
      </c>
      <c r="E17" s="5">
        <v>2024</v>
      </c>
      <c r="F17" s="10">
        <v>14398</v>
      </c>
      <c r="G17" s="4">
        <v>90</v>
      </c>
      <c r="H17" s="11">
        <f>F17*G17</f>
        <v>1295820</v>
      </c>
      <c r="I17" s="10">
        <v>212</v>
      </c>
      <c r="J17" s="4">
        <f>ROUND(G17*RetailRate,0)</f>
        <v>117</v>
      </c>
      <c r="K17" s="11">
        <f>I17*J17</f>
        <v>24804</v>
      </c>
      <c r="L17" s="12">
        <f>H17+K17</f>
        <v>1320624</v>
      </c>
    </row>
    <row r="18" spans="1:12" outlineLevel="3" x14ac:dyDescent="0.2">
      <c r="A18" s="3" t="s">
        <v>29</v>
      </c>
      <c r="B18" s="3" t="s">
        <v>33</v>
      </c>
      <c r="C18" s="3" t="s">
        <v>35</v>
      </c>
      <c r="D18" s="5">
        <v>5</v>
      </c>
      <c r="E18" s="5">
        <v>2025</v>
      </c>
      <c r="F18" s="10">
        <v>11234</v>
      </c>
      <c r="G18" s="4">
        <v>125</v>
      </c>
      <c r="H18" s="11">
        <f>F18*G18</f>
        <v>1404250</v>
      </c>
      <c r="I18" s="10">
        <v>1034</v>
      </c>
      <c r="J18" s="4">
        <f>ROUND(G18*RetailRate,0)</f>
        <v>163</v>
      </c>
      <c r="K18" s="11">
        <f>I18*J18</f>
        <v>168542</v>
      </c>
      <c r="L18" s="12">
        <f>H18+K18</f>
        <v>1572792</v>
      </c>
    </row>
    <row r="19" spans="1:12" outlineLevel="3" x14ac:dyDescent="0.2">
      <c r="A19" s="3" t="s">
        <v>29</v>
      </c>
      <c r="B19" s="3" t="s">
        <v>33</v>
      </c>
      <c r="C19" s="3" t="s">
        <v>34</v>
      </c>
      <c r="D19" s="5">
        <v>2</v>
      </c>
      <c r="E19" s="5">
        <v>2023</v>
      </c>
      <c r="F19" s="10">
        <v>4500</v>
      </c>
      <c r="G19" s="4">
        <v>90</v>
      </c>
      <c r="H19" s="11">
        <f>F19*G19</f>
        <v>405000</v>
      </c>
      <c r="I19" s="10">
        <v>142</v>
      </c>
      <c r="J19" s="4">
        <f>ROUND(G19*RetailRate,0)</f>
        <v>117</v>
      </c>
      <c r="K19" s="11">
        <f>I19*J19</f>
        <v>16614</v>
      </c>
      <c r="L19" s="12">
        <f>H19+K19</f>
        <v>421614</v>
      </c>
    </row>
    <row r="20" spans="1:12" outlineLevel="2" x14ac:dyDescent="0.2">
      <c r="A20" s="3"/>
      <c r="B20" s="17" t="s">
        <v>104</v>
      </c>
      <c r="C20" s="3"/>
      <c r="D20" s="5"/>
      <c r="E20" s="5"/>
      <c r="F20" s="10"/>
      <c r="G20" s="4"/>
      <c r="H20" s="11">
        <f>SUBTOTAL(9,H17:H19)</f>
        <v>3105070</v>
      </c>
      <c r="I20" s="10"/>
      <c r="J20" s="4"/>
      <c r="K20" s="11">
        <f>SUBTOTAL(9,K17:K19)</f>
        <v>209960</v>
      </c>
      <c r="L20" s="12">
        <f>SUBTOTAL(9,L17:L19)</f>
        <v>3315030</v>
      </c>
    </row>
    <row r="21" spans="1:12" outlineLevel="1" x14ac:dyDescent="0.2">
      <c r="A21" s="17" t="s">
        <v>96</v>
      </c>
      <c r="B21" s="3"/>
      <c r="C21" s="3"/>
      <c r="D21" s="5"/>
      <c r="E21" s="5"/>
      <c r="F21" s="10"/>
      <c r="G21" s="4"/>
      <c r="H21" s="11">
        <f>SUBTOTAL(9,H13:H19)</f>
        <v>7486445</v>
      </c>
      <c r="I21" s="10"/>
      <c r="J21" s="4"/>
      <c r="K21" s="11">
        <f>SUBTOTAL(9,K13:K19)</f>
        <v>439125</v>
      </c>
      <c r="L21" s="12">
        <f>SUBTOTAL(9,L13:L19)</f>
        <v>7925570</v>
      </c>
    </row>
    <row r="22" spans="1:12" outlineLevel="3" x14ac:dyDescent="0.2">
      <c r="A22" s="3" t="s">
        <v>9</v>
      </c>
      <c r="B22" s="3" t="s">
        <v>10</v>
      </c>
      <c r="C22" s="3" t="s">
        <v>12</v>
      </c>
      <c r="D22" s="5">
        <v>1</v>
      </c>
      <c r="E22" s="5">
        <v>2025</v>
      </c>
      <c r="F22" s="10">
        <v>37400</v>
      </c>
      <c r="G22" s="4">
        <v>100</v>
      </c>
      <c r="H22" s="11">
        <f>F22*G22</f>
        <v>3740000</v>
      </c>
      <c r="I22" s="10">
        <v>1000</v>
      </c>
      <c r="J22" s="4">
        <f>ROUND(G22*RetailRate,0)</f>
        <v>130</v>
      </c>
      <c r="K22" s="11">
        <f>I22*J22</f>
        <v>130000</v>
      </c>
      <c r="L22" s="12">
        <f>H22+K22</f>
        <v>3870000</v>
      </c>
    </row>
    <row r="23" spans="1:12" outlineLevel="3" x14ac:dyDescent="0.2">
      <c r="A23" s="3" t="s">
        <v>9</v>
      </c>
      <c r="B23" s="3" t="s">
        <v>10</v>
      </c>
      <c r="C23" s="3" t="s">
        <v>14</v>
      </c>
      <c r="D23" s="5">
        <v>1</v>
      </c>
      <c r="E23" s="5">
        <v>2025</v>
      </c>
      <c r="F23" s="10">
        <v>11983</v>
      </c>
      <c r="G23" s="4">
        <v>55</v>
      </c>
      <c r="H23" s="11">
        <f>F23*G23</f>
        <v>659065</v>
      </c>
      <c r="I23" s="10">
        <v>93</v>
      </c>
      <c r="J23" s="4">
        <f>ROUND(G23*RetailRate,0)</f>
        <v>72</v>
      </c>
      <c r="K23" s="11">
        <f>I23*J23</f>
        <v>6696</v>
      </c>
      <c r="L23" s="12">
        <f>H23+K23</f>
        <v>665761</v>
      </c>
    </row>
    <row r="24" spans="1:12" outlineLevel="3" x14ac:dyDescent="0.2">
      <c r="A24" s="3" t="s">
        <v>9</v>
      </c>
      <c r="B24" s="3" t="s">
        <v>10</v>
      </c>
      <c r="C24" s="3" t="s">
        <v>13</v>
      </c>
      <c r="D24" s="5">
        <v>8</v>
      </c>
      <c r="E24" s="5">
        <v>2024</v>
      </c>
      <c r="F24" s="10">
        <v>32123</v>
      </c>
      <c r="G24" s="4">
        <v>95</v>
      </c>
      <c r="H24" s="11">
        <f>F24*G24</f>
        <v>3051685</v>
      </c>
      <c r="I24" s="10">
        <v>2375</v>
      </c>
      <c r="J24" s="4">
        <f>ROUND(G24*RetailRate,0)</f>
        <v>124</v>
      </c>
      <c r="K24" s="11">
        <f>I24*J24</f>
        <v>294500</v>
      </c>
      <c r="L24" s="12">
        <f>H24+K24</f>
        <v>3346185</v>
      </c>
    </row>
    <row r="25" spans="1:12" outlineLevel="2" x14ac:dyDescent="0.2">
      <c r="A25" s="3"/>
      <c r="B25" s="17" t="s">
        <v>105</v>
      </c>
      <c r="C25" s="3"/>
      <c r="D25" s="5"/>
      <c r="E25" s="5"/>
      <c r="F25" s="10"/>
      <c r="G25" s="4"/>
      <c r="H25" s="11">
        <f>SUBTOTAL(9,H22:H24)</f>
        <v>7450750</v>
      </c>
      <c r="I25" s="10"/>
      <c r="J25" s="4"/>
      <c r="K25" s="11">
        <f>SUBTOTAL(9,K22:K24)</f>
        <v>431196</v>
      </c>
      <c r="L25" s="12">
        <f>SUBTOTAL(9,L22:L24)</f>
        <v>7881946</v>
      </c>
    </row>
    <row r="26" spans="1:12" outlineLevel="3" x14ac:dyDescent="0.2">
      <c r="A26" s="3" t="s">
        <v>9</v>
      </c>
      <c r="B26" s="3" t="s">
        <v>11</v>
      </c>
      <c r="C26" s="3" t="s">
        <v>16</v>
      </c>
      <c r="D26" s="5">
        <v>2</v>
      </c>
      <c r="E26" s="5">
        <v>2023</v>
      </c>
      <c r="F26" s="10">
        <v>22418</v>
      </c>
      <c r="G26" s="4">
        <v>90</v>
      </c>
      <c r="H26" s="11">
        <f>F26*G26</f>
        <v>2017620</v>
      </c>
      <c r="I26" s="10">
        <v>45</v>
      </c>
      <c r="J26" s="4">
        <f>ROUND(G26*RetailRate,0)</f>
        <v>117</v>
      </c>
      <c r="K26" s="11">
        <f>I26*J26</f>
        <v>5265</v>
      </c>
      <c r="L26" s="12">
        <f>H26+K26</f>
        <v>2022885</v>
      </c>
    </row>
    <row r="27" spans="1:12" outlineLevel="3" x14ac:dyDescent="0.2">
      <c r="A27" s="3" t="s">
        <v>9</v>
      </c>
      <c r="B27" s="3" t="s">
        <v>11</v>
      </c>
      <c r="C27" s="3" t="s">
        <v>15</v>
      </c>
      <c r="D27" s="5">
        <v>10</v>
      </c>
      <c r="E27" s="5">
        <v>2024</v>
      </c>
      <c r="F27" s="10">
        <v>18350</v>
      </c>
      <c r="G27" s="4">
        <v>125</v>
      </c>
      <c r="H27" s="11">
        <f>F27*G27</f>
        <v>2293750</v>
      </c>
      <c r="I27" s="10">
        <v>142</v>
      </c>
      <c r="J27" s="4">
        <f>ROUND(G27*RetailRate,0)</f>
        <v>163</v>
      </c>
      <c r="K27" s="11">
        <f>I27*J27</f>
        <v>23146</v>
      </c>
      <c r="L27" s="12">
        <f>H27+K27</f>
        <v>2316896</v>
      </c>
    </row>
    <row r="28" spans="1:12" outlineLevel="2" x14ac:dyDescent="0.2">
      <c r="A28" s="3"/>
      <c r="B28" s="17" t="s">
        <v>106</v>
      </c>
      <c r="C28" s="3"/>
      <c r="D28" s="5"/>
      <c r="E28" s="5"/>
      <c r="F28" s="10"/>
      <c r="G28" s="4"/>
      <c r="H28" s="11">
        <f>SUBTOTAL(9,H26:H27)</f>
        <v>4311370</v>
      </c>
      <c r="I28" s="10"/>
      <c r="J28" s="4"/>
      <c r="K28" s="11">
        <f>SUBTOTAL(9,K26:K27)</f>
        <v>28411</v>
      </c>
      <c r="L28" s="12">
        <f>SUBTOTAL(9,L26:L27)</f>
        <v>4339781</v>
      </c>
    </row>
    <row r="29" spans="1:12" outlineLevel="1" x14ac:dyDescent="0.2">
      <c r="A29" s="17" t="s">
        <v>97</v>
      </c>
      <c r="B29" s="3"/>
      <c r="C29" s="3"/>
      <c r="D29" s="5"/>
      <c r="E29" s="5"/>
      <c r="F29" s="10"/>
      <c r="G29" s="4"/>
      <c r="H29" s="11">
        <f>SUBTOTAL(9,H22:H27)</f>
        <v>11762120</v>
      </c>
      <c r="I29" s="10"/>
      <c r="J29" s="4"/>
      <c r="K29" s="11">
        <f>SUBTOTAL(9,K22:K27)</f>
        <v>459607</v>
      </c>
      <c r="L29" s="12">
        <f>SUBTOTAL(9,L22:L27)</f>
        <v>12221727</v>
      </c>
    </row>
    <row r="30" spans="1:12" outlineLevel="3" x14ac:dyDescent="0.2">
      <c r="A30" s="3" t="s">
        <v>17</v>
      </c>
      <c r="B30" s="3" t="s">
        <v>18</v>
      </c>
      <c r="C30" s="3" t="s">
        <v>19</v>
      </c>
      <c r="D30" s="5">
        <v>4</v>
      </c>
      <c r="E30" s="5">
        <v>2023</v>
      </c>
      <c r="F30" s="10">
        <v>12345</v>
      </c>
      <c r="G30" s="4">
        <v>100</v>
      </c>
      <c r="H30" s="11">
        <f>F30*G30</f>
        <v>1234500</v>
      </c>
      <c r="I30" s="10">
        <v>240</v>
      </c>
      <c r="J30" s="4">
        <f>ROUND(G30*RetailRate,0)</f>
        <v>130</v>
      </c>
      <c r="K30" s="11">
        <f>I30*J30</f>
        <v>31200</v>
      </c>
      <c r="L30" s="12">
        <f>H30+K30</f>
        <v>1265700</v>
      </c>
    </row>
    <row r="31" spans="1:12" outlineLevel="3" x14ac:dyDescent="0.2">
      <c r="A31" s="3" t="s">
        <v>17</v>
      </c>
      <c r="B31" s="3" t="s">
        <v>18</v>
      </c>
      <c r="C31" s="3" t="s">
        <v>20</v>
      </c>
      <c r="D31" s="5">
        <v>1</v>
      </c>
      <c r="E31" s="5">
        <v>2025</v>
      </c>
      <c r="F31" s="10">
        <v>11875</v>
      </c>
      <c r="G31" s="4">
        <v>135</v>
      </c>
      <c r="H31" s="11">
        <f>F31*G31</f>
        <v>1603125</v>
      </c>
      <c r="I31" s="10">
        <v>1200</v>
      </c>
      <c r="J31" s="4">
        <f>ROUND(G31*RetailRate,0)</f>
        <v>176</v>
      </c>
      <c r="K31" s="11">
        <f>I31*J31</f>
        <v>211200</v>
      </c>
      <c r="L31" s="12">
        <f>H31+K31</f>
        <v>1814325</v>
      </c>
    </row>
    <row r="32" spans="1:12" outlineLevel="3" x14ac:dyDescent="0.2">
      <c r="A32" s="3" t="s">
        <v>17</v>
      </c>
      <c r="B32" s="3" t="s">
        <v>18</v>
      </c>
      <c r="C32" s="3" t="s">
        <v>21</v>
      </c>
      <c r="D32" s="5">
        <v>2</v>
      </c>
      <c r="E32" s="5">
        <v>2024</v>
      </c>
      <c r="F32" s="10">
        <v>16735</v>
      </c>
      <c r="G32" s="4">
        <v>75</v>
      </c>
      <c r="H32" s="11">
        <f>F32*G32</f>
        <v>1255125</v>
      </c>
      <c r="I32" s="10">
        <v>100</v>
      </c>
      <c r="J32" s="4">
        <f>ROUND(G32*RetailRate,0)</f>
        <v>98</v>
      </c>
      <c r="K32" s="11">
        <f>I32*J32</f>
        <v>9800</v>
      </c>
      <c r="L32" s="12">
        <f>H32+K32</f>
        <v>1264925</v>
      </c>
    </row>
    <row r="33" spans="1:12" outlineLevel="2" x14ac:dyDescent="0.2">
      <c r="A33" s="3"/>
      <c r="B33" s="17" t="s">
        <v>107</v>
      </c>
      <c r="C33" s="3"/>
      <c r="D33" s="5"/>
      <c r="E33" s="5"/>
      <c r="F33" s="10"/>
      <c r="G33" s="4"/>
      <c r="H33" s="11">
        <f>SUBTOTAL(9,H30:H32)</f>
        <v>4092750</v>
      </c>
      <c r="I33" s="10"/>
      <c r="J33" s="4"/>
      <c r="K33" s="11">
        <f>SUBTOTAL(9,K30:K32)</f>
        <v>252200</v>
      </c>
      <c r="L33" s="12">
        <f>SUBTOTAL(9,L30:L32)</f>
        <v>4344950</v>
      </c>
    </row>
    <row r="34" spans="1:12" outlineLevel="3" x14ac:dyDescent="0.2">
      <c r="A34" s="3" t="s">
        <v>17</v>
      </c>
      <c r="B34" s="3" t="s">
        <v>26</v>
      </c>
      <c r="C34" s="3" t="s">
        <v>26</v>
      </c>
      <c r="D34" s="5">
        <v>5</v>
      </c>
      <c r="E34" s="5">
        <v>2025</v>
      </c>
      <c r="F34" s="10">
        <v>21230</v>
      </c>
      <c r="G34" s="4">
        <v>85</v>
      </c>
      <c r="H34" s="11">
        <f>F34*G34</f>
        <v>1804550</v>
      </c>
      <c r="I34" s="10">
        <v>1200</v>
      </c>
      <c r="J34" s="4">
        <f>ROUND(G34*RetailRate,0)</f>
        <v>111</v>
      </c>
      <c r="K34" s="11">
        <f>I34*J34</f>
        <v>133200</v>
      </c>
      <c r="L34" s="12">
        <f>H34+K34</f>
        <v>1937750</v>
      </c>
    </row>
    <row r="35" spans="1:12" outlineLevel="3" x14ac:dyDescent="0.2">
      <c r="A35" s="3" t="s">
        <v>17</v>
      </c>
      <c r="B35" s="3" t="s">
        <v>26</v>
      </c>
      <c r="C35" s="3" t="s">
        <v>28</v>
      </c>
      <c r="D35" s="5">
        <v>1</v>
      </c>
      <c r="E35" s="5">
        <v>2024</v>
      </c>
      <c r="F35" s="10">
        <v>7230</v>
      </c>
      <c r="G35" s="4">
        <v>85</v>
      </c>
      <c r="H35" s="11">
        <f>F35*G35</f>
        <v>614550</v>
      </c>
      <c r="I35" s="10">
        <v>115</v>
      </c>
      <c r="J35" s="4">
        <f>ROUND(G35*RetailRate,0)</f>
        <v>111</v>
      </c>
      <c r="K35" s="11">
        <f>I35*J35</f>
        <v>12765</v>
      </c>
      <c r="L35" s="12">
        <f>H35+K35</f>
        <v>627315</v>
      </c>
    </row>
    <row r="36" spans="1:12" outlineLevel="3" x14ac:dyDescent="0.2">
      <c r="A36" s="3" t="s">
        <v>17</v>
      </c>
      <c r="B36" s="3" t="s">
        <v>26</v>
      </c>
      <c r="C36" s="3" t="s">
        <v>27</v>
      </c>
      <c r="D36" s="5">
        <v>3</v>
      </c>
      <c r="E36" s="5">
        <v>2023</v>
      </c>
      <c r="F36" s="10">
        <v>14000</v>
      </c>
      <c r="G36" s="4">
        <v>95</v>
      </c>
      <c r="H36" s="11">
        <f>F36*G36</f>
        <v>1330000</v>
      </c>
      <c r="I36" s="10">
        <v>100</v>
      </c>
      <c r="J36" s="4">
        <f>ROUND(G36*RetailRate,0)</f>
        <v>124</v>
      </c>
      <c r="K36" s="11">
        <f>I36*J36</f>
        <v>12400</v>
      </c>
      <c r="L36" s="12">
        <f>H36+K36</f>
        <v>1342400</v>
      </c>
    </row>
    <row r="37" spans="1:12" outlineLevel="2" x14ac:dyDescent="0.2">
      <c r="A37" s="3"/>
      <c r="B37" s="17" t="s">
        <v>108</v>
      </c>
      <c r="C37" s="3"/>
      <c r="D37" s="5"/>
      <c r="E37" s="5"/>
      <c r="F37" s="10"/>
      <c r="G37" s="4"/>
      <c r="H37" s="11">
        <f>SUBTOTAL(9,H34:H36)</f>
        <v>3749100</v>
      </c>
      <c r="I37" s="10"/>
      <c r="J37" s="4"/>
      <c r="K37" s="11">
        <f>SUBTOTAL(9,K34:K36)</f>
        <v>158365</v>
      </c>
      <c r="L37" s="12">
        <f>SUBTOTAL(9,L34:L36)</f>
        <v>3907465</v>
      </c>
    </row>
    <row r="38" spans="1:12" outlineLevel="3" x14ac:dyDescent="0.2">
      <c r="A38" s="3" t="s">
        <v>17</v>
      </c>
      <c r="B38" s="3" t="s">
        <v>22</v>
      </c>
      <c r="C38" s="3" t="s">
        <v>25</v>
      </c>
      <c r="D38" s="5">
        <v>10</v>
      </c>
      <c r="E38" s="5">
        <v>2024</v>
      </c>
      <c r="F38" s="10">
        <v>18500</v>
      </c>
      <c r="G38" s="4">
        <v>115</v>
      </c>
      <c r="H38" s="11">
        <f>F38*G38</f>
        <v>2127500</v>
      </c>
      <c r="I38" s="10">
        <v>245</v>
      </c>
      <c r="J38" s="4">
        <f>ROUND(G38*RetailRate,0)</f>
        <v>150</v>
      </c>
      <c r="K38" s="11">
        <f>I38*J38</f>
        <v>36750</v>
      </c>
      <c r="L38" s="12">
        <f>H38+K38</f>
        <v>2164250</v>
      </c>
    </row>
    <row r="39" spans="1:12" outlineLevel="3" x14ac:dyDescent="0.2">
      <c r="A39" s="3" t="s">
        <v>17</v>
      </c>
      <c r="B39" s="3" t="s">
        <v>22</v>
      </c>
      <c r="C39" s="3" t="s">
        <v>23</v>
      </c>
      <c r="D39" s="5">
        <v>10</v>
      </c>
      <c r="E39" s="5">
        <v>2025</v>
      </c>
      <c r="F39" s="10">
        <v>25750</v>
      </c>
      <c r="G39" s="4">
        <v>125</v>
      </c>
      <c r="H39" s="11">
        <f>F39*G39</f>
        <v>3218750</v>
      </c>
      <c r="I39" s="10">
        <v>1234</v>
      </c>
      <c r="J39" s="4">
        <f>ROUND(G39*RetailRate,0)</f>
        <v>163</v>
      </c>
      <c r="K39" s="11">
        <f>I39*J39</f>
        <v>201142</v>
      </c>
      <c r="L39" s="12">
        <f>H39+K39</f>
        <v>3419892</v>
      </c>
    </row>
    <row r="40" spans="1:12" outlineLevel="3" x14ac:dyDescent="0.2">
      <c r="A40" s="3" t="s">
        <v>17</v>
      </c>
      <c r="B40" s="3" t="s">
        <v>22</v>
      </c>
      <c r="C40" s="3" t="s">
        <v>24</v>
      </c>
      <c r="D40" s="5">
        <v>5</v>
      </c>
      <c r="E40" s="5">
        <v>2023</v>
      </c>
      <c r="F40" s="10">
        <v>5500</v>
      </c>
      <c r="G40" s="4">
        <v>90</v>
      </c>
      <c r="H40" s="11">
        <f>F40*G40</f>
        <v>495000</v>
      </c>
      <c r="I40" s="10">
        <v>114</v>
      </c>
      <c r="J40" s="4">
        <f>ROUND(G40*RetailRate,0)</f>
        <v>117</v>
      </c>
      <c r="K40" s="11">
        <f>I40*J40</f>
        <v>13338</v>
      </c>
      <c r="L40" s="12">
        <f>H40+K40</f>
        <v>508338</v>
      </c>
    </row>
    <row r="41" spans="1:12" outlineLevel="2" x14ac:dyDescent="0.2">
      <c r="A41" s="3"/>
      <c r="B41" s="17" t="s">
        <v>109</v>
      </c>
      <c r="C41" s="3"/>
      <c r="D41" s="5"/>
      <c r="E41" s="5"/>
      <c r="F41" s="10"/>
      <c r="G41" s="4"/>
      <c r="H41" s="11">
        <f>SUBTOTAL(9,H38:H40)</f>
        <v>5841250</v>
      </c>
      <c r="I41" s="10"/>
      <c r="J41" s="4"/>
      <c r="K41" s="11">
        <f>SUBTOTAL(9,K38:K40)</f>
        <v>251230</v>
      </c>
      <c r="L41" s="12">
        <f>SUBTOTAL(9,L38:L40)</f>
        <v>6092480</v>
      </c>
    </row>
    <row r="42" spans="1:12" outlineLevel="1" x14ac:dyDescent="0.2">
      <c r="A42" s="17" t="s">
        <v>98</v>
      </c>
      <c r="B42" s="3"/>
      <c r="C42" s="3"/>
      <c r="D42" s="5"/>
      <c r="E42" s="5"/>
      <c r="F42" s="10"/>
      <c r="G42" s="4"/>
      <c r="H42" s="11">
        <f>SUBTOTAL(9,H30:H40)</f>
        <v>13683100</v>
      </c>
      <c r="I42" s="10"/>
      <c r="J42" s="4"/>
      <c r="K42" s="11">
        <f>SUBTOTAL(9,K30:K40)</f>
        <v>661795</v>
      </c>
      <c r="L42" s="12">
        <f>SUBTOTAL(9,L30:L40)</f>
        <v>14344895</v>
      </c>
    </row>
    <row r="43" spans="1:12" outlineLevel="3" x14ac:dyDescent="0.2">
      <c r="A43" s="3" t="s">
        <v>47</v>
      </c>
      <c r="B43" s="3" t="s">
        <v>10</v>
      </c>
      <c r="C43" s="3" t="s">
        <v>45</v>
      </c>
      <c r="D43" s="5">
        <v>5</v>
      </c>
      <c r="E43" s="5">
        <v>2025</v>
      </c>
      <c r="F43" s="10">
        <v>18750</v>
      </c>
      <c r="G43" s="4">
        <v>135</v>
      </c>
      <c r="H43" s="11">
        <f>F43*G43</f>
        <v>2531250</v>
      </c>
      <c r="I43" s="10">
        <v>1023</v>
      </c>
      <c r="J43" s="4">
        <f>ROUND(G43*RetailRate,0)</f>
        <v>176</v>
      </c>
      <c r="K43" s="11">
        <f>I43*J43</f>
        <v>180048</v>
      </c>
      <c r="L43" s="12">
        <f>H43+K43</f>
        <v>2711298</v>
      </c>
    </row>
    <row r="44" spans="1:12" outlineLevel="3" x14ac:dyDescent="0.2">
      <c r="A44" s="3" t="s">
        <v>47</v>
      </c>
      <c r="B44" s="3" t="s">
        <v>10</v>
      </c>
      <c r="C44" s="3" t="s">
        <v>48</v>
      </c>
      <c r="D44" s="5">
        <v>1</v>
      </c>
      <c r="E44" s="5">
        <v>2025</v>
      </c>
      <c r="F44" s="10">
        <v>25983</v>
      </c>
      <c r="G44" s="4">
        <v>115</v>
      </c>
      <c r="H44" s="11">
        <f>F44*G44</f>
        <v>2988045</v>
      </c>
      <c r="I44" s="10">
        <v>853</v>
      </c>
      <c r="J44" s="4">
        <f>ROUND(G44*RetailRate,0)</f>
        <v>150</v>
      </c>
      <c r="K44" s="11">
        <f>I44*J44</f>
        <v>127950</v>
      </c>
      <c r="L44" s="12">
        <f>H44+K44</f>
        <v>3115995</v>
      </c>
    </row>
    <row r="45" spans="1:12" outlineLevel="3" x14ac:dyDescent="0.2">
      <c r="A45" s="3" t="s">
        <v>47</v>
      </c>
      <c r="B45" s="3" t="s">
        <v>10</v>
      </c>
      <c r="C45" s="3" t="s">
        <v>46</v>
      </c>
      <c r="D45" s="5">
        <v>8</v>
      </c>
      <c r="E45" s="5">
        <v>2023</v>
      </c>
      <c r="F45" s="10">
        <v>15502</v>
      </c>
      <c r="G45" s="4">
        <v>75</v>
      </c>
      <c r="H45" s="11">
        <f>F45*G45</f>
        <v>1162650</v>
      </c>
      <c r="I45" s="10">
        <v>73</v>
      </c>
      <c r="J45" s="4">
        <f>ROUND(G45*RetailRate,0)</f>
        <v>98</v>
      </c>
      <c r="K45" s="11">
        <f>I45*J45</f>
        <v>7154</v>
      </c>
      <c r="L45" s="12">
        <f>H45+K45</f>
        <v>1169804</v>
      </c>
    </row>
    <row r="46" spans="1:12" outlineLevel="3" x14ac:dyDescent="0.2">
      <c r="A46" s="3" t="s">
        <v>47</v>
      </c>
      <c r="B46" s="3" t="s">
        <v>10</v>
      </c>
      <c r="C46" s="3" t="s">
        <v>47</v>
      </c>
      <c r="D46" s="5">
        <v>3</v>
      </c>
      <c r="E46" s="5">
        <v>2022</v>
      </c>
      <c r="F46" s="10">
        <v>17353</v>
      </c>
      <c r="G46" s="4">
        <v>105</v>
      </c>
      <c r="H46" s="11">
        <f>F46*G46</f>
        <v>1822065</v>
      </c>
      <c r="I46" s="10">
        <v>650</v>
      </c>
      <c r="J46" s="4">
        <f>ROUND(G46*RetailRate,0)</f>
        <v>137</v>
      </c>
      <c r="K46" s="11">
        <f>I46*J46</f>
        <v>89050</v>
      </c>
      <c r="L46" s="12">
        <f>H46+K46</f>
        <v>1911115</v>
      </c>
    </row>
    <row r="47" spans="1:12" outlineLevel="2" x14ac:dyDescent="0.2">
      <c r="A47" s="3"/>
      <c r="B47" s="17" t="s">
        <v>105</v>
      </c>
      <c r="C47" s="3"/>
      <c r="D47" s="5"/>
      <c r="E47" s="5"/>
      <c r="F47" s="10"/>
      <c r="G47" s="4"/>
      <c r="H47" s="11">
        <f>SUBTOTAL(9,H43:H46)</f>
        <v>8504010</v>
      </c>
      <c r="I47" s="10"/>
      <c r="J47" s="4"/>
      <c r="K47" s="11">
        <f>SUBTOTAL(9,K43:K46)</f>
        <v>404202</v>
      </c>
      <c r="L47" s="12">
        <f>SUBTOTAL(9,L43:L46)</f>
        <v>8908212</v>
      </c>
    </row>
    <row r="48" spans="1:12" outlineLevel="3" x14ac:dyDescent="0.2">
      <c r="A48" s="3" t="s">
        <v>47</v>
      </c>
      <c r="B48" s="3" t="s">
        <v>49</v>
      </c>
      <c r="C48" s="3" t="s">
        <v>52</v>
      </c>
      <c r="D48" s="5">
        <v>3</v>
      </c>
      <c r="E48" s="5">
        <v>2022</v>
      </c>
      <c r="F48" s="10">
        <v>5321</v>
      </c>
      <c r="G48" s="4">
        <v>85</v>
      </c>
      <c r="H48" s="11">
        <f>F48*G48</f>
        <v>452285</v>
      </c>
      <c r="I48" s="10">
        <v>11</v>
      </c>
      <c r="J48" s="4">
        <f>ROUND(G48*RetailRate,0)</f>
        <v>111</v>
      </c>
      <c r="K48" s="11">
        <f>I48*J48</f>
        <v>1221</v>
      </c>
      <c r="L48" s="12">
        <f>H48+K48</f>
        <v>453506</v>
      </c>
    </row>
    <row r="49" spans="1:12" outlineLevel="3" x14ac:dyDescent="0.2">
      <c r="A49" s="3" t="s">
        <v>47</v>
      </c>
      <c r="B49" s="3" t="s">
        <v>49</v>
      </c>
      <c r="C49" s="3" t="s">
        <v>50</v>
      </c>
      <c r="D49" s="5">
        <v>7</v>
      </c>
      <c r="E49" s="5">
        <v>2024</v>
      </c>
      <c r="F49" s="10">
        <v>18950</v>
      </c>
      <c r="G49" s="4">
        <v>125</v>
      </c>
      <c r="H49" s="11">
        <f>F49*G49</f>
        <v>2368750</v>
      </c>
      <c r="I49" s="10">
        <v>1654</v>
      </c>
      <c r="J49" s="4">
        <f>ROUND(G49*RetailRate,0)</f>
        <v>163</v>
      </c>
      <c r="K49" s="11">
        <f>I49*J49</f>
        <v>269602</v>
      </c>
      <c r="L49" s="12">
        <f>H49+K49</f>
        <v>2638352</v>
      </c>
    </row>
    <row r="50" spans="1:12" outlineLevel="3" x14ac:dyDescent="0.2">
      <c r="A50" s="3" t="s">
        <v>47</v>
      </c>
      <c r="B50" s="3" t="s">
        <v>49</v>
      </c>
      <c r="C50" s="3" t="s">
        <v>51</v>
      </c>
      <c r="D50" s="5">
        <v>5</v>
      </c>
      <c r="E50" s="5">
        <v>2025</v>
      </c>
      <c r="F50" s="10">
        <v>15768</v>
      </c>
      <c r="G50" s="4">
        <v>95</v>
      </c>
      <c r="H50" s="11">
        <f>F50*G50</f>
        <v>1497960</v>
      </c>
      <c r="I50" s="10">
        <v>143</v>
      </c>
      <c r="J50" s="4">
        <f>ROUND(G50*RetailRate,0)</f>
        <v>124</v>
      </c>
      <c r="K50" s="11">
        <f>I50*J50</f>
        <v>17732</v>
      </c>
      <c r="L50" s="12">
        <f>H50+K50</f>
        <v>1515692</v>
      </c>
    </row>
    <row r="51" spans="1:12" outlineLevel="2" x14ac:dyDescent="0.2">
      <c r="A51" s="3"/>
      <c r="B51" s="17" t="s">
        <v>110</v>
      </c>
      <c r="C51" s="3"/>
      <c r="D51" s="5"/>
      <c r="E51" s="5"/>
      <c r="F51" s="10"/>
      <c r="G51" s="4"/>
      <c r="H51" s="11">
        <f>SUBTOTAL(9,H48:H50)</f>
        <v>4318995</v>
      </c>
      <c r="I51" s="10"/>
      <c r="J51" s="4"/>
      <c r="K51" s="11">
        <f>SUBTOTAL(9,K48:K50)</f>
        <v>288555</v>
      </c>
      <c r="L51" s="12">
        <f>SUBTOTAL(9,L48:L50)</f>
        <v>4607550</v>
      </c>
    </row>
    <row r="52" spans="1:12" outlineLevel="1" x14ac:dyDescent="0.2">
      <c r="A52" s="17" t="s">
        <v>99</v>
      </c>
      <c r="B52" s="3"/>
      <c r="C52" s="3"/>
      <c r="D52" s="5"/>
      <c r="E52" s="5"/>
      <c r="F52" s="10"/>
      <c r="G52" s="4"/>
      <c r="H52" s="11">
        <f>SUBTOTAL(9,H43:H50)</f>
        <v>12823005</v>
      </c>
      <c r="I52" s="10"/>
      <c r="J52" s="4"/>
      <c r="K52" s="11">
        <f>SUBTOTAL(9,K43:K50)</f>
        <v>692757</v>
      </c>
      <c r="L52" s="12">
        <f>SUBTOTAL(9,L43:L50)</f>
        <v>13515762</v>
      </c>
    </row>
    <row r="53" spans="1:12" x14ac:dyDescent="0.2">
      <c r="A53" s="17" t="s">
        <v>100</v>
      </c>
      <c r="B53" s="3"/>
      <c r="C53" s="3"/>
      <c r="D53" s="5"/>
      <c r="E53" s="5"/>
      <c r="F53" s="10"/>
      <c r="G53" s="4"/>
      <c r="H53" s="11">
        <f>SUBTOTAL(9,H5:H50)</f>
        <v>54049565</v>
      </c>
      <c r="I53" s="10"/>
      <c r="J53" s="4"/>
      <c r="K53" s="11">
        <f>SUBTOTAL(9,K5:K50)</f>
        <v>2473862</v>
      </c>
      <c r="L53" s="12">
        <f>SUBTOTAL(9,L5:L50)</f>
        <v>56523427</v>
      </c>
    </row>
  </sheetData>
  <sortState xmlns:xlrd2="http://schemas.microsoft.com/office/spreadsheetml/2017/richdata2" ref="A5:L50">
    <sortCondition ref="A5:A50"/>
    <sortCondition ref="B5:B50"/>
  </sortState>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4583-0E78-4740-9365-D57C3F7D1DF0}">
  <dimension ref="A1:K11"/>
  <sheetViews>
    <sheetView tabSelected="1" workbookViewId="0">
      <selection activeCell="F9" sqref="F9"/>
    </sheetView>
  </sheetViews>
  <sheetFormatPr baseColWidth="10" defaultRowHeight="15" x14ac:dyDescent="0.2"/>
  <cols>
    <col min="1" max="1" width="15.1640625" bestFit="1" customWidth="1"/>
    <col min="2" max="2" width="15.33203125" bestFit="1" customWidth="1"/>
    <col min="3" max="3" width="15.1640625" bestFit="1" customWidth="1"/>
    <col min="4" max="4" width="15.33203125" bestFit="1" customWidth="1"/>
    <col min="5" max="5" width="15.1640625" bestFit="1" customWidth="1"/>
    <col min="6" max="6" width="15.33203125" bestFit="1" customWidth="1"/>
    <col min="7" max="7" width="15.1640625" bestFit="1" customWidth="1"/>
    <col min="8" max="8" width="15.33203125" bestFit="1" customWidth="1"/>
    <col min="9" max="9" width="15.1640625" bestFit="1" customWidth="1"/>
    <col min="10" max="10" width="19.6640625" bestFit="1" customWidth="1"/>
    <col min="11" max="11" width="19.5" bestFit="1" customWidth="1"/>
  </cols>
  <sheetData>
    <row r="1" spans="1:11" x14ac:dyDescent="0.2">
      <c r="A1" s="18" t="s">
        <v>3</v>
      </c>
      <c r="B1" t="s">
        <v>113</v>
      </c>
    </row>
    <row r="3" spans="1:11" x14ac:dyDescent="0.2">
      <c r="B3" s="18" t="s">
        <v>112</v>
      </c>
    </row>
    <row r="4" spans="1:11" x14ac:dyDescent="0.2">
      <c r="B4" s="1">
        <v>2022</v>
      </c>
      <c r="C4" s="1"/>
      <c r="D4" s="1">
        <v>2023</v>
      </c>
      <c r="E4" s="1"/>
      <c r="F4" s="1">
        <v>2024</v>
      </c>
      <c r="G4" s="1"/>
      <c r="H4" s="1">
        <v>2025</v>
      </c>
      <c r="I4" s="1"/>
      <c r="J4" t="s">
        <v>114</v>
      </c>
      <c r="K4" t="s">
        <v>115</v>
      </c>
    </row>
    <row r="5" spans="1:11" ht="16" x14ac:dyDescent="0.2">
      <c r="A5" s="18" t="s">
        <v>0</v>
      </c>
      <c r="B5" t="s">
        <v>111</v>
      </c>
      <c r="C5" s="20" t="s">
        <v>116</v>
      </c>
      <c r="D5" t="s">
        <v>111</v>
      </c>
      <c r="E5" s="20" t="s">
        <v>116</v>
      </c>
      <c r="F5" t="s">
        <v>111</v>
      </c>
      <c r="G5" s="20" t="s">
        <v>116</v>
      </c>
      <c r="H5" t="s">
        <v>111</v>
      </c>
      <c r="I5" s="20" t="s">
        <v>116</v>
      </c>
    </row>
    <row r="6" spans="1:11" x14ac:dyDescent="0.2">
      <c r="A6" s="19" t="s">
        <v>37</v>
      </c>
      <c r="B6" s="21">
        <v>6.5394190165370902E-2</v>
      </c>
      <c r="C6" s="2">
        <v>368968.80000000005</v>
      </c>
      <c r="D6" s="21">
        <v>0</v>
      </c>
      <c r="E6" s="2">
        <v>0</v>
      </c>
      <c r="F6" s="21">
        <v>1.0841465761917371E-2</v>
      </c>
      <c r="G6" s="2">
        <v>61170</v>
      </c>
      <c r="H6" s="21">
        <v>7.4547545596365686E-2</v>
      </c>
      <c r="I6" s="2">
        <v>420614.10000000003</v>
      </c>
      <c r="J6" s="21">
        <v>0.15078320152365396</v>
      </c>
      <c r="K6" s="2">
        <v>850752.9</v>
      </c>
    </row>
    <row r="7" spans="1:11" x14ac:dyDescent="0.2">
      <c r="A7" s="19" t="s">
        <v>29</v>
      </c>
      <c r="B7" s="21">
        <v>0</v>
      </c>
      <c r="C7" s="2">
        <v>0</v>
      </c>
      <c r="D7" s="21">
        <v>3.2316429721177424E-2</v>
      </c>
      <c r="E7" s="2">
        <v>182336.6</v>
      </c>
      <c r="F7" s="21">
        <v>3.7896550049572632E-2</v>
      </c>
      <c r="G7" s="2">
        <v>213820.90000000002</v>
      </c>
      <c r="H7" s="21">
        <v>6.9929102449990482E-2</v>
      </c>
      <c r="I7" s="2">
        <v>394555.80000000005</v>
      </c>
      <c r="J7" s="21">
        <v>0.14014208222074054</v>
      </c>
      <c r="K7" s="2">
        <v>790713.3</v>
      </c>
    </row>
    <row r="8" spans="1:11" x14ac:dyDescent="0.2">
      <c r="A8" s="19" t="s">
        <v>9</v>
      </c>
      <c r="B8" s="21">
        <v>0</v>
      </c>
      <c r="C8" s="2">
        <v>0</v>
      </c>
      <c r="D8" s="21">
        <v>3.5849414752262672E-2</v>
      </c>
      <c r="E8" s="2">
        <v>202270.5</v>
      </c>
      <c r="F8" s="21">
        <v>0.10014153988159992</v>
      </c>
      <c r="G8" s="2">
        <v>565021.20000000007</v>
      </c>
      <c r="H8" s="21">
        <v>8.0296003740367716E-2</v>
      </c>
      <c r="I8" s="2">
        <v>453048.2</v>
      </c>
      <c r="J8" s="21">
        <v>0.21628695837423031</v>
      </c>
      <c r="K8" s="2">
        <v>1220339.9000000001</v>
      </c>
    </row>
    <row r="9" spans="1:11" x14ac:dyDescent="0.2">
      <c r="A9" s="19" t="s">
        <v>17</v>
      </c>
      <c r="B9" s="21">
        <v>0</v>
      </c>
      <c r="C9" s="2">
        <v>0</v>
      </c>
      <c r="D9" s="21">
        <v>5.5195981160627031E-2</v>
      </c>
      <c r="E9" s="2">
        <v>311428.2</v>
      </c>
      <c r="F9" s="21">
        <v>7.1851871938486689E-2</v>
      </c>
      <c r="G9" s="2">
        <v>405404.5</v>
      </c>
      <c r="H9" s="21">
        <v>0.12670405262036649</v>
      </c>
      <c r="I9" s="2">
        <v>714892.9</v>
      </c>
      <c r="J9" s="21">
        <v>0.2537519057194802</v>
      </c>
      <c r="K9" s="2">
        <v>1431725.6</v>
      </c>
    </row>
    <row r="10" spans="1:11" x14ac:dyDescent="0.2">
      <c r="A10" s="19" t="s">
        <v>47</v>
      </c>
      <c r="B10" s="21">
        <v>4.1839266984342705E-2</v>
      </c>
      <c r="C10" s="2">
        <v>236066.6</v>
      </c>
      <c r="D10" s="21">
        <v>2.0727847484308497E-2</v>
      </c>
      <c r="E10" s="2">
        <v>116951.20000000001</v>
      </c>
      <c r="F10" s="21">
        <v>4.6555632475551313E-2</v>
      </c>
      <c r="G10" s="2">
        <v>262677.40000000002</v>
      </c>
      <c r="H10" s="21">
        <v>0.12991310521769245</v>
      </c>
      <c r="I10" s="2">
        <v>732999.10000000009</v>
      </c>
      <c r="J10" s="21">
        <v>0.23903585216189496</v>
      </c>
      <c r="K10" s="2">
        <v>1348694.3</v>
      </c>
    </row>
    <row r="11" spans="1:11" x14ac:dyDescent="0.2">
      <c r="A11" s="19" t="s">
        <v>100</v>
      </c>
      <c r="B11" s="21">
        <v>0.10723345714971361</v>
      </c>
      <c r="C11" s="2">
        <v>605035.4</v>
      </c>
      <c r="D11" s="21">
        <v>0.14408967311837562</v>
      </c>
      <c r="E11" s="2">
        <v>812986.5</v>
      </c>
      <c r="F11" s="21">
        <v>0.26728706010712794</v>
      </c>
      <c r="G11" s="2">
        <v>1508094</v>
      </c>
      <c r="H11" s="21">
        <v>0.48138980962478284</v>
      </c>
      <c r="I11" s="2">
        <v>2716110.1</v>
      </c>
      <c r="J11" s="21">
        <v>1</v>
      </c>
      <c r="K11" s="2">
        <v>5642226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6"/>
  <sheetViews>
    <sheetView workbookViewId="0">
      <pane xSplit="2" ySplit="4" topLeftCell="C5" activePane="bottomRight" state="frozen"/>
      <selection pane="topRight" activeCell="C1" sqref="C1"/>
      <selection pane="bottomLeft" activeCell="A5" sqref="A5"/>
      <selection pane="bottomRight" activeCell="J2" sqref="J2"/>
    </sheetView>
  </sheetViews>
  <sheetFormatPr baseColWidth="10" defaultColWidth="8.83203125" defaultRowHeight="15" x14ac:dyDescent="0.2"/>
  <cols>
    <col min="1" max="1" width="18.1640625" bestFit="1" customWidth="1"/>
    <col min="2" max="2" width="24" bestFit="1" customWidth="1"/>
    <col min="3" max="3" width="44.33203125" bestFit="1" customWidth="1"/>
    <col min="4" max="4" width="7.33203125" style="1" bestFit="1" customWidth="1"/>
    <col min="5" max="5" width="9.1640625" style="1" customWidth="1"/>
    <col min="6" max="6" width="11" customWidth="1"/>
    <col min="7" max="7" width="12" customWidth="1"/>
    <col min="8" max="8" width="12.1640625" customWidth="1"/>
    <col min="9" max="9" width="11" customWidth="1"/>
    <col min="10" max="10" width="12" customWidth="1"/>
    <col min="11" max="11" width="12.1640625" customWidth="1"/>
    <col min="12" max="12" width="13.6640625" customWidth="1"/>
  </cols>
  <sheetData>
    <row r="1" spans="1:12" x14ac:dyDescent="0.2">
      <c r="A1" s="13" t="s">
        <v>59</v>
      </c>
      <c r="B1" s="4">
        <f>GETPIVOTDATA("Total Book Sales",PivotTable!$A$3)</f>
        <v>1</v>
      </c>
      <c r="G1" s="3" t="s">
        <v>57</v>
      </c>
      <c r="J1" s="6">
        <v>1.25</v>
      </c>
    </row>
    <row r="2" spans="1:12" x14ac:dyDescent="0.2">
      <c r="A2" s="13" t="s">
        <v>60</v>
      </c>
      <c r="B2" s="4">
        <f>GETPIVOTDATA("Total Book Sales",PivotTable!$A$3,"Discipline","Introductory")</f>
        <v>0.21628695837423031</v>
      </c>
      <c r="G2" s="3" t="s">
        <v>56</v>
      </c>
      <c r="J2" s="6">
        <v>0.1</v>
      </c>
    </row>
    <row r="3" spans="1:12" x14ac:dyDescent="0.2">
      <c r="J3" s="6"/>
    </row>
    <row r="4" spans="1:12" ht="32" x14ac:dyDescent="0.2">
      <c r="A4" s="7" t="s">
        <v>0</v>
      </c>
      <c r="B4" s="7" t="s">
        <v>1</v>
      </c>
      <c r="C4" s="7" t="s">
        <v>2</v>
      </c>
      <c r="D4" s="8" t="s">
        <v>3</v>
      </c>
      <c r="E4" s="8" t="s">
        <v>4</v>
      </c>
      <c r="F4" s="9" t="s">
        <v>5</v>
      </c>
      <c r="G4" s="9" t="s">
        <v>6</v>
      </c>
      <c r="H4" s="9" t="s">
        <v>53</v>
      </c>
      <c r="I4" s="9" t="s">
        <v>7</v>
      </c>
      <c r="J4" s="9" t="s">
        <v>8</v>
      </c>
      <c r="K4" s="9" t="s">
        <v>55</v>
      </c>
      <c r="L4" s="9" t="s">
        <v>58</v>
      </c>
    </row>
    <row r="5" spans="1:12" x14ac:dyDescent="0.2">
      <c r="A5" s="3" t="s">
        <v>17</v>
      </c>
      <c r="B5" s="3" t="s">
        <v>22</v>
      </c>
      <c r="C5" s="3" t="s">
        <v>25</v>
      </c>
      <c r="D5" s="5">
        <v>10</v>
      </c>
      <c r="E5" s="5">
        <v>2024</v>
      </c>
      <c r="F5" s="10">
        <v>18500</v>
      </c>
      <c r="G5" s="4">
        <v>115</v>
      </c>
      <c r="H5" s="11">
        <f t="shared" ref="H5:H36" si="0">F5*G5</f>
        <v>2127500</v>
      </c>
      <c r="I5" s="10">
        <v>245</v>
      </c>
      <c r="J5" s="4">
        <f t="shared" ref="J5:J36" si="1">ROUND(G5*RetailRate,0)</f>
        <v>144</v>
      </c>
      <c r="K5" s="11">
        <f t="shared" ref="K5:K36" si="2">I5*J5</f>
        <v>35280</v>
      </c>
      <c r="L5" s="12">
        <f t="shared" ref="L5:L36" si="3">H5+K5</f>
        <v>2162780</v>
      </c>
    </row>
    <row r="6" spans="1:12" x14ac:dyDescent="0.2">
      <c r="A6" s="3" t="s">
        <v>47</v>
      </c>
      <c r="B6" s="3" t="s">
        <v>10</v>
      </c>
      <c r="C6" s="3" t="s">
        <v>45</v>
      </c>
      <c r="D6" s="5">
        <v>5</v>
      </c>
      <c r="E6" s="5">
        <v>2025</v>
      </c>
      <c r="F6" s="10">
        <v>18750</v>
      </c>
      <c r="G6" s="4">
        <v>135</v>
      </c>
      <c r="H6" s="11">
        <f t="shared" si="0"/>
        <v>2531250</v>
      </c>
      <c r="I6" s="10">
        <v>1023</v>
      </c>
      <c r="J6" s="4">
        <f t="shared" si="1"/>
        <v>169</v>
      </c>
      <c r="K6" s="11">
        <f t="shared" si="2"/>
        <v>172887</v>
      </c>
      <c r="L6" s="12">
        <f t="shared" si="3"/>
        <v>2704137</v>
      </c>
    </row>
    <row r="7" spans="1:12" x14ac:dyDescent="0.2">
      <c r="A7" s="3" t="s">
        <v>17</v>
      </c>
      <c r="B7" s="3" t="s">
        <v>22</v>
      </c>
      <c r="C7" s="3" t="s">
        <v>23</v>
      </c>
      <c r="D7" s="5">
        <v>10</v>
      </c>
      <c r="E7" s="5">
        <v>2025</v>
      </c>
      <c r="F7" s="10">
        <v>25750</v>
      </c>
      <c r="G7" s="4">
        <v>125</v>
      </c>
      <c r="H7" s="11">
        <f t="shared" si="0"/>
        <v>3218750</v>
      </c>
      <c r="I7" s="10">
        <v>1234</v>
      </c>
      <c r="J7" s="4">
        <f t="shared" si="1"/>
        <v>156</v>
      </c>
      <c r="K7" s="11">
        <f t="shared" si="2"/>
        <v>192504</v>
      </c>
      <c r="L7" s="12">
        <f t="shared" si="3"/>
        <v>3411254</v>
      </c>
    </row>
    <row r="8" spans="1:12" x14ac:dyDescent="0.2">
      <c r="A8" s="3" t="s">
        <v>17</v>
      </c>
      <c r="B8" s="3" t="s">
        <v>22</v>
      </c>
      <c r="C8" s="3" t="s">
        <v>24</v>
      </c>
      <c r="D8" s="5">
        <v>5</v>
      </c>
      <c r="E8" s="5">
        <v>2023</v>
      </c>
      <c r="F8" s="10">
        <v>5500</v>
      </c>
      <c r="G8" s="4">
        <v>90</v>
      </c>
      <c r="H8" s="11">
        <f t="shared" si="0"/>
        <v>495000</v>
      </c>
      <c r="I8" s="10">
        <v>114</v>
      </c>
      <c r="J8" s="4">
        <f t="shared" si="1"/>
        <v>113</v>
      </c>
      <c r="K8" s="11">
        <f t="shared" si="2"/>
        <v>12882</v>
      </c>
      <c r="L8" s="12">
        <f t="shared" si="3"/>
        <v>507882</v>
      </c>
    </row>
    <row r="9" spans="1:12" x14ac:dyDescent="0.2">
      <c r="A9" s="3" t="s">
        <v>37</v>
      </c>
      <c r="B9" s="3" t="s">
        <v>38</v>
      </c>
      <c r="C9" s="3" t="s">
        <v>39</v>
      </c>
      <c r="D9" s="5">
        <v>1</v>
      </c>
      <c r="E9" s="5">
        <v>2025</v>
      </c>
      <c r="F9" s="10">
        <v>5387</v>
      </c>
      <c r="G9" s="4">
        <v>85</v>
      </c>
      <c r="H9" s="11">
        <f t="shared" si="0"/>
        <v>457895</v>
      </c>
      <c r="I9" s="10">
        <v>34</v>
      </c>
      <c r="J9" s="4">
        <f t="shared" si="1"/>
        <v>106</v>
      </c>
      <c r="K9" s="11">
        <f t="shared" si="2"/>
        <v>3604</v>
      </c>
      <c r="L9" s="12">
        <f t="shared" si="3"/>
        <v>461499</v>
      </c>
    </row>
    <row r="10" spans="1:12" x14ac:dyDescent="0.2">
      <c r="A10" s="3" t="s">
        <v>9</v>
      </c>
      <c r="B10" s="3" t="s">
        <v>10</v>
      </c>
      <c r="C10" s="3" t="s">
        <v>12</v>
      </c>
      <c r="D10" s="5">
        <v>1</v>
      </c>
      <c r="E10" s="5">
        <v>2025</v>
      </c>
      <c r="F10" s="10">
        <v>37400</v>
      </c>
      <c r="G10" s="4">
        <v>100</v>
      </c>
      <c r="H10" s="11">
        <f t="shared" si="0"/>
        <v>3740000</v>
      </c>
      <c r="I10" s="10">
        <v>1000</v>
      </c>
      <c r="J10" s="4">
        <f t="shared" si="1"/>
        <v>125</v>
      </c>
      <c r="K10" s="11">
        <f t="shared" si="2"/>
        <v>125000</v>
      </c>
      <c r="L10" s="12">
        <f t="shared" si="3"/>
        <v>3865000</v>
      </c>
    </row>
    <row r="11" spans="1:12" x14ac:dyDescent="0.2">
      <c r="A11" s="3" t="s">
        <v>9</v>
      </c>
      <c r="B11" s="3" t="s">
        <v>10</v>
      </c>
      <c r="C11" s="3" t="s">
        <v>14</v>
      </c>
      <c r="D11" s="5">
        <v>1</v>
      </c>
      <c r="E11" s="5">
        <v>2025</v>
      </c>
      <c r="F11" s="10">
        <v>11983</v>
      </c>
      <c r="G11" s="4">
        <v>55</v>
      </c>
      <c r="H11" s="11">
        <f t="shared" si="0"/>
        <v>659065</v>
      </c>
      <c r="I11" s="10">
        <v>93</v>
      </c>
      <c r="J11" s="4">
        <f t="shared" si="1"/>
        <v>69</v>
      </c>
      <c r="K11" s="11">
        <f t="shared" si="2"/>
        <v>6417</v>
      </c>
      <c r="L11" s="12">
        <f t="shared" si="3"/>
        <v>665482</v>
      </c>
    </row>
    <row r="12" spans="1:12" x14ac:dyDescent="0.2">
      <c r="A12" s="3" t="s">
        <v>37</v>
      </c>
      <c r="B12" s="3" t="s">
        <v>41</v>
      </c>
      <c r="C12" s="3" t="s">
        <v>43</v>
      </c>
      <c r="D12" s="5">
        <v>2</v>
      </c>
      <c r="E12" s="5">
        <v>2022</v>
      </c>
      <c r="F12" s="10">
        <v>25000</v>
      </c>
      <c r="G12" s="4">
        <v>105</v>
      </c>
      <c r="H12" s="11">
        <f t="shared" si="0"/>
        <v>2625000</v>
      </c>
      <c r="I12" s="10">
        <v>123</v>
      </c>
      <c r="J12" s="4">
        <f t="shared" si="1"/>
        <v>131</v>
      </c>
      <c r="K12" s="11">
        <f t="shared" si="2"/>
        <v>16113</v>
      </c>
      <c r="L12" s="12">
        <f t="shared" si="3"/>
        <v>2641113</v>
      </c>
    </row>
    <row r="13" spans="1:12" x14ac:dyDescent="0.2">
      <c r="A13" s="3" t="s">
        <v>29</v>
      </c>
      <c r="B13" s="3" t="s">
        <v>33</v>
      </c>
      <c r="C13" s="3" t="s">
        <v>36</v>
      </c>
      <c r="D13" s="5">
        <v>7</v>
      </c>
      <c r="E13" s="5">
        <v>2024</v>
      </c>
      <c r="F13" s="10">
        <v>14398</v>
      </c>
      <c r="G13" s="4">
        <v>90</v>
      </c>
      <c r="H13" s="11">
        <f t="shared" si="0"/>
        <v>1295820</v>
      </c>
      <c r="I13" s="10">
        <v>212</v>
      </c>
      <c r="J13" s="4">
        <f t="shared" si="1"/>
        <v>113</v>
      </c>
      <c r="K13" s="11">
        <f t="shared" si="2"/>
        <v>23956</v>
      </c>
      <c r="L13" s="12">
        <f t="shared" si="3"/>
        <v>1319776</v>
      </c>
    </row>
    <row r="14" spans="1:12" x14ac:dyDescent="0.2">
      <c r="A14" s="3" t="s">
        <v>29</v>
      </c>
      <c r="B14" s="3" t="s">
        <v>30</v>
      </c>
      <c r="C14" s="3" t="s">
        <v>32</v>
      </c>
      <c r="D14" s="5">
        <v>4</v>
      </c>
      <c r="E14" s="5">
        <v>2024</v>
      </c>
      <c r="F14" s="10">
        <v>9575</v>
      </c>
      <c r="G14" s="4">
        <v>85</v>
      </c>
      <c r="H14" s="11">
        <f t="shared" si="0"/>
        <v>813875</v>
      </c>
      <c r="I14" s="10">
        <v>43</v>
      </c>
      <c r="J14" s="4">
        <f t="shared" si="1"/>
        <v>106</v>
      </c>
      <c r="K14" s="11">
        <f t="shared" si="2"/>
        <v>4558</v>
      </c>
      <c r="L14" s="12">
        <f t="shared" si="3"/>
        <v>818433</v>
      </c>
    </row>
    <row r="15" spans="1:12" x14ac:dyDescent="0.2">
      <c r="A15" s="3" t="s">
        <v>29</v>
      </c>
      <c r="B15" s="3" t="s">
        <v>30</v>
      </c>
      <c r="C15" s="3" t="s">
        <v>54</v>
      </c>
      <c r="D15" s="5">
        <v>3</v>
      </c>
      <c r="E15" s="5">
        <v>2023</v>
      </c>
      <c r="F15" s="10">
        <v>12000</v>
      </c>
      <c r="G15" s="4">
        <v>115</v>
      </c>
      <c r="H15" s="11">
        <f t="shared" si="0"/>
        <v>1380000</v>
      </c>
      <c r="I15" s="10">
        <v>155</v>
      </c>
      <c r="J15" s="4">
        <f t="shared" si="1"/>
        <v>144</v>
      </c>
      <c r="K15" s="11">
        <f t="shared" si="2"/>
        <v>22320</v>
      </c>
      <c r="L15" s="12">
        <f t="shared" si="3"/>
        <v>1402320</v>
      </c>
    </row>
    <row r="16" spans="1:12" x14ac:dyDescent="0.2">
      <c r="A16" s="3" t="s">
        <v>17</v>
      </c>
      <c r="B16" s="3" t="s">
        <v>18</v>
      </c>
      <c r="C16" s="3" t="s">
        <v>19</v>
      </c>
      <c r="D16" s="5">
        <v>4</v>
      </c>
      <c r="E16" s="5">
        <v>2023</v>
      </c>
      <c r="F16" s="10">
        <v>12345</v>
      </c>
      <c r="G16" s="4">
        <v>100</v>
      </c>
      <c r="H16" s="11">
        <f t="shared" si="0"/>
        <v>1234500</v>
      </c>
      <c r="I16" s="10">
        <v>240</v>
      </c>
      <c r="J16" s="4">
        <f t="shared" si="1"/>
        <v>125</v>
      </c>
      <c r="K16" s="11">
        <f t="shared" si="2"/>
        <v>30000</v>
      </c>
      <c r="L16" s="12">
        <f t="shared" si="3"/>
        <v>1264500</v>
      </c>
    </row>
    <row r="17" spans="1:12" x14ac:dyDescent="0.2">
      <c r="A17" s="3" t="s">
        <v>17</v>
      </c>
      <c r="B17" s="3" t="s">
        <v>26</v>
      </c>
      <c r="C17" s="3" t="s">
        <v>26</v>
      </c>
      <c r="D17" s="5">
        <v>5</v>
      </c>
      <c r="E17" s="5">
        <v>2025</v>
      </c>
      <c r="F17" s="10">
        <v>21230</v>
      </c>
      <c r="G17" s="4">
        <v>85</v>
      </c>
      <c r="H17" s="11">
        <f t="shared" si="0"/>
        <v>1804550</v>
      </c>
      <c r="I17" s="10">
        <v>1200</v>
      </c>
      <c r="J17" s="4">
        <f t="shared" si="1"/>
        <v>106</v>
      </c>
      <c r="K17" s="11">
        <f t="shared" si="2"/>
        <v>127200</v>
      </c>
      <c r="L17" s="12">
        <f t="shared" si="3"/>
        <v>1931750</v>
      </c>
    </row>
    <row r="18" spans="1:12" x14ac:dyDescent="0.2">
      <c r="A18" s="3" t="s">
        <v>37</v>
      </c>
      <c r="B18" s="3" t="s">
        <v>41</v>
      </c>
      <c r="C18" s="3" t="s">
        <v>44</v>
      </c>
      <c r="D18" s="5">
        <v>7</v>
      </c>
      <c r="E18" s="5">
        <v>2025</v>
      </c>
      <c r="F18" s="10">
        <v>32400</v>
      </c>
      <c r="G18" s="4">
        <v>110</v>
      </c>
      <c r="H18" s="11">
        <f t="shared" si="0"/>
        <v>3564000</v>
      </c>
      <c r="I18" s="10">
        <v>1309</v>
      </c>
      <c r="J18" s="4">
        <f t="shared" si="1"/>
        <v>138</v>
      </c>
      <c r="K18" s="11">
        <f t="shared" si="2"/>
        <v>180642</v>
      </c>
      <c r="L18" s="12">
        <f t="shared" si="3"/>
        <v>3744642</v>
      </c>
    </row>
    <row r="19" spans="1:12" x14ac:dyDescent="0.2">
      <c r="A19" s="3" t="s">
        <v>17</v>
      </c>
      <c r="B19" s="3" t="s">
        <v>18</v>
      </c>
      <c r="C19" s="3" t="s">
        <v>20</v>
      </c>
      <c r="D19" s="5">
        <v>1</v>
      </c>
      <c r="E19" s="5">
        <v>2025</v>
      </c>
      <c r="F19" s="10">
        <v>11875</v>
      </c>
      <c r="G19" s="4">
        <v>135</v>
      </c>
      <c r="H19" s="11">
        <f t="shared" si="0"/>
        <v>1603125</v>
      </c>
      <c r="I19" s="10">
        <v>1200</v>
      </c>
      <c r="J19" s="4">
        <f t="shared" si="1"/>
        <v>169</v>
      </c>
      <c r="K19" s="11">
        <f t="shared" si="2"/>
        <v>202800</v>
      </c>
      <c r="L19" s="12">
        <f t="shared" si="3"/>
        <v>1805925</v>
      </c>
    </row>
    <row r="20" spans="1:12" x14ac:dyDescent="0.2">
      <c r="A20" s="3" t="s">
        <v>9</v>
      </c>
      <c r="B20" s="3" t="s">
        <v>11</v>
      </c>
      <c r="C20" s="3" t="s">
        <v>16</v>
      </c>
      <c r="D20" s="5">
        <v>2</v>
      </c>
      <c r="E20" s="5">
        <v>2023</v>
      </c>
      <c r="F20" s="10">
        <v>22418</v>
      </c>
      <c r="G20" s="4">
        <v>90</v>
      </c>
      <c r="H20" s="11">
        <f t="shared" si="0"/>
        <v>2017620</v>
      </c>
      <c r="I20" s="10">
        <v>45</v>
      </c>
      <c r="J20" s="4">
        <f t="shared" si="1"/>
        <v>113</v>
      </c>
      <c r="K20" s="11">
        <f t="shared" si="2"/>
        <v>5085</v>
      </c>
      <c r="L20" s="12">
        <f t="shared" si="3"/>
        <v>2022705</v>
      </c>
    </row>
    <row r="21" spans="1:12" x14ac:dyDescent="0.2">
      <c r="A21" s="3" t="s">
        <v>47</v>
      </c>
      <c r="B21" s="3" t="s">
        <v>49</v>
      </c>
      <c r="C21" s="3" t="s">
        <v>52</v>
      </c>
      <c r="D21" s="5">
        <v>3</v>
      </c>
      <c r="E21" s="5">
        <v>2022</v>
      </c>
      <c r="F21" s="10">
        <v>5321</v>
      </c>
      <c r="G21" s="4">
        <v>85</v>
      </c>
      <c r="H21" s="11">
        <f t="shared" si="0"/>
        <v>452285</v>
      </c>
      <c r="I21" s="10">
        <v>11</v>
      </c>
      <c r="J21" s="4">
        <f t="shared" si="1"/>
        <v>106</v>
      </c>
      <c r="K21" s="11">
        <f t="shared" si="2"/>
        <v>1166</v>
      </c>
      <c r="L21" s="12">
        <f t="shared" si="3"/>
        <v>453451</v>
      </c>
    </row>
    <row r="22" spans="1:12" x14ac:dyDescent="0.2">
      <c r="A22" s="3" t="s">
        <v>29</v>
      </c>
      <c r="B22" s="3" t="s">
        <v>33</v>
      </c>
      <c r="C22" s="3" t="s">
        <v>35</v>
      </c>
      <c r="D22" s="5">
        <v>5</v>
      </c>
      <c r="E22" s="5">
        <v>2025</v>
      </c>
      <c r="F22" s="10">
        <v>11234</v>
      </c>
      <c r="G22" s="4">
        <v>125</v>
      </c>
      <c r="H22" s="11">
        <f t="shared" si="0"/>
        <v>1404250</v>
      </c>
      <c r="I22" s="10">
        <v>1034</v>
      </c>
      <c r="J22" s="4">
        <f t="shared" si="1"/>
        <v>156</v>
      </c>
      <c r="K22" s="11">
        <f t="shared" si="2"/>
        <v>161304</v>
      </c>
      <c r="L22" s="12">
        <f t="shared" si="3"/>
        <v>1565554</v>
      </c>
    </row>
    <row r="23" spans="1:12" x14ac:dyDescent="0.2">
      <c r="A23" s="3" t="s">
        <v>9</v>
      </c>
      <c r="B23" s="3" t="s">
        <v>11</v>
      </c>
      <c r="C23" s="3" t="s">
        <v>15</v>
      </c>
      <c r="D23" s="5">
        <v>10</v>
      </c>
      <c r="E23" s="5">
        <v>2024</v>
      </c>
      <c r="F23" s="10">
        <v>18350</v>
      </c>
      <c r="G23" s="4">
        <v>125</v>
      </c>
      <c r="H23" s="11">
        <f t="shared" si="0"/>
        <v>2293750</v>
      </c>
      <c r="I23" s="10">
        <v>142</v>
      </c>
      <c r="J23" s="4">
        <f t="shared" si="1"/>
        <v>156</v>
      </c>
      <c r="K23" s="11">
        <f t="shared" si="2"/>
        <v>22152</v>
      </c>
      <c r="L23" s="12">
        <f t="shared" si="3"/>
        <v>2315902</v>
      </c>
    </row>
    <row r="24" spans="1:12" x14ac:dyDescent="0.2">
      <c r="A24" s="3" t="s">
        <v>47</v>
      </c>
      <c r="B24" s="3" t="s">
        <v>10</v>
      </c>
      <c r="C24" s="3" t="s">
        <v>48</v>
      </c>
      <c r="D24" s="5">
        <v>1</v>
      </c>
      <c r="E24" s="5">
        <v>2025</v>
      </c>
      <c r="F24" s="10">
        <v>25983</v>
      </c>
      <c r="G24" s="4">
        <v>115</v>
      </c>
      <c r="H24" s="11">
        <f t="shared" si="0"/>
        <v>2988045</v>
      </c>
      <c r="I24" s="10">
        <v>853</v>
      </c>
      <c r="J24" s="4">
        <f t="shared" si="1"/>
        <v>144</v>
      </c>
      <c r="K24" s="11">
        <f t="shared" si="2"/>
        <v>122832</v>
      </c>
      <c r="L24" s="12">
        <f t="shared" si="3"/>
        <v>3110877</v>
      </c>
    </row>
    <row r="25" spans="1:12" x14ac:dyDescent="0.2">
      <c r="A25" s="3" t="s">
        <v>17</v>
      </c>
      <c r="B25" s="3" t="s">
        <v>26</v>
      </c>
      <c r="C25" s="3" t="s">
        <v>28</v>
      </c>
      <c r="D25" s="5">
        <v>1</v>
      </c>
      <c r="E25" s="5">
        <v>2024</v>
      </c>
      <c r="F25" s="10">
        <v>7230</v>
      </c>
      <c r="G25" s="4">
        <v>85</v>
      </c>
      <c r="H25" s="11">
        <f t="shared" si="0"/>
        <v>614550</v>
      </c>
      <c r="I25" s="10">
        <v>115</v>
      </c>
      <c r="J25" s="4">
        <f t="shared" si="1"/>
        <v>106</v>
      </c>
      <c r="K25" s="11">
        <f t="shared" si="2"/>
        <v>12190</v>
      </c>
      <c r="L25" s="12">
        <f t="shared" si="3"/>
        <v>626740</v>
      </c>
    </row>
    <row r="26" spans="1:12" x14ac:dyDescent="0.2">
      <c r="A26" s="3" t="s">
        <v>37</v>
      </c>
      <c r="B26" s="3" t="s">
        <v>38</v>
      </c>
      <c r="C26" s="3" t="s">
        <v>40</v>
      </c>
      <c r="D26" s="5">
        <v>2</v>
      </c>
      <c r="E26" s="5">
        <v>2024</v>
      </c>
      <c r="F26" s="10">
        <v>7560</v>
      </c>
      <c r="G26" s="4">
        <v>80</v>
      </c>
      <c r="H26" s="11">
        <f t="shared" si="0"/>
        <v>604800</v>
      </c>
      <c r="I26" s="10">
        <v>69</v>
      </c>
      <c r="J26" s="4">
        <f t="shared" si="1"/>
        <v>100</v>
      </c>
      <c r="K26" s="11">
        <f t="shared" si="2"/>
        <v>6900</v>
      </c>
      <c r="L26" s="12">
        <f t="shared" si="3"/>
        <v>611700</v>
      </c>
    </row>
    <row r="27" spans="1:12" x14ac:dyDescent="0.2">
      <c r="A27" s="3" t="s">
        <v>47</v>
      </c>
      <c r="B27" s="3" t="s">
        <v>10</v>
      </c>
      <c r="C27" s="3" t="s">
        <v>46</v>
      </c>
      <c r="D27" s="5">
        <v>8</v>
      </c>
      <c r="E27" s="5">
        <v>2023</v>
      </c>
      <c r="F27" s="10">
        <v>15502</v>
      </c>
      <c r="G27" s="4">
        <v>75</v>
      </c>
      <c r="H27" s="11">
        <f t="shared" si="0"/>
        <v>1162650</v>
      </c>
      <c r="I27" s="10">
        <v>73</v>
      </c>
      <c r="J27" s="4">
        <f t="shared" si="1"/>
        <v>94</v>
      </c>
      <c r="K27" s="11">
        <f t="shared" si="2"/>
        <v>6862</v>
      </c>
      <c r="L27" s="12">
        <f t="shared" si="3"/>
        <v>1169512</v>
      </c>
    </row>
    <row r="28" spans="1:12" x14ac:dyDescent="0.2">
      <c r="A28" s="3" t="s">
        <v>29</v>
      </c>
      <c r="B28" s="3" t="s">
        <v>33</v>
      </c>
      <c r="C28" s="3" t="s">
        <v>34</v>
      </c>
      <c r="D28" s="5">
        <v>2</v>
      </c>
      <c r="E28" s="5">
        <v>2023</v>
      </c>
      <c r="F28" s="10">
        <v>4500</v>
      </c>
      <c r="G28" s="4">
        <v>90</v>
      </c>
      <c r="H28" s="11">
        <f t="shared" si="0"/>
        <v>405000</v>
      </c>
      <c r="I28" s="10">
        <v>142</v>
      </c>
      <c r="J28" s="4">
        <f t="shared" si="1"/>
        <v>113</v>
      </c>
      <c r="K28" s="11">
        <f t="shared" si="2"/>
        <v>16046</v>
      </c>
      <c r="L28" s="12">
        <f t="shared" si="3"/>
        <v>421046</v>
      </c>
    </row>
    <row r="29" spans="1:12" x14ac:dyDescent="0.2">
      <c r="A29" s="3" t="s">
        <v>47</v>
      </c>
      <c r="B29" s="3" t="s">
        <v>10</v>
      </c>
      <c r="C29" s="3" t="s">
        <v>47</v>
      </c>
      <c r="D29" s="5">
        <v>3</v>
      </c>
      <c r="E29" s="5">
        <v>2022</v>
      </c>
      <c r="F29" s="10">
        <v>17353</v>
      </c>
      <c r="G29" s="4">
        <v>105</v>
      </c>
      <c r="H29" s="11">
        <f t="shared" si="0"/>
        <v>1822065</v>
      </c>
      <c r="I29" s="10">
        <v>650</v>
      </c>
      <c r="J29" s="4">
        <f t="shared" si="1"/>
        <v>131</v>
      </c>
      <c r="K29" s="11">
        <f t="shared" si="2"/>
        <v>85150</v>
      </c>
      <c r="L29" s="12">
        <f t="shared" si="3"/>
        <v>1907215</v>
      </c>
    </row>
    <row r="30" spans="1:12" x14ac:dyDescent="0.2">
      <c r="A30" s="3" t="s">
        <v>9</v>
      </c>
      <c r="B30" s="3" t="s">
        <v>10</v>
      </c>
      <c r="C30" s="3" t="s">
        <v>13</v>
      </c>
      <c r="D30" s="5">
        <v>8</v>
      </c>
      <c r="E30" s="5">
        <v>2024</v>
      </c>
      <c r="F30" s="10">
        <v>32123</v>
      </c>
      <c r="G30" s="4">
        <v>95</v>
      </c>
      <c r="H30" s="11">
        <f t="shared" si="0"/>
        <v>3051685</v>
      </c>
      <c r="I30" s="10">
        <v>2375</v>
      </c>
      <c r="J30" s="4">
        <f t="shared" si="1"/>
        <v>119</v>
      </c>
      <c r="K30" s="11">
        <f t="shared" si="2"/>
        <v>282625</v>
      </c>
      <c r="L30" s="12">
        <f t="shared" si="3"/>
        <v>3334310</v>
      </c>
    </row>
    <row r="31" spans="1:12" x14ac:dyDescent="0.2">
      <c r="A31" s="3" t="s">
        <v>47</v>
      </c>
      <c r="B31" s="3" t="s">
        <v>49</v>
      </c>
      <c r="C31" s="3" t="s">
        <v>50</v>
      </c>
      <c r="D31" s="5">
        <v>7</v>
      </c>
      <c r="E31" s="5">
        <v>2024</v>
      </c>
      <c r="F31" s="10">
        <v>18950</v>
      </c>
      <c r="G31" s="4">
        <v>125</v>
      </c>
      <c r="H31" s="11">
        <f t="shared" si="0"/>
        <v>2368750</v>
      </c>
      <c r="I31" s="10">
        <v>1654</v>
      </c>
      <c r="J31" s="4">
        <f t="shared" si="1"/>
        <v>156</v>
      </c>
      <c r="K31" s="11">
        <f t="shared" si="2"/>
        <v>258024</v>
      </c>
      <c r="L31" s="12">
        <f t="shared" si="3"/>
        <v>2626774</v>
      </c>
    </row>
    <row r="32" spans="1:12" x14ac:dyDescent="0.2">
      <c r="A32" s="3" t="s">
        <v>47</v>
      </c>
      <c r="B32" s="3" t="s">
        <v>49</v>
      </c>
      <c r="C32" s="3" t="s">
        <v>51</v>
      </c>
      <c r="D32" s="5">
        <v>5</v>
      </c>
      <c r="E32" s="5">
        <v>2025</v>
      </c>
      <c r="F32" s="10">
        <v>15768</v>
      </c>
      <c r="G32" s="4">
        <v>95</v>
      </c>
      <c r="H32" s="11">
        <f t="shared" si="0"/>
        <v>1497960</v>
      </c>
      <c r="I32" s="10">
        <v>143</v>
      </c>
      <c r="J32" s="4">
        <f t="shared" si="1"/>
        <v>119</v>
      </c>
      <c r="K32" s="11">
        <f t="shared" si="2"/>
        <v>17017</v>
      </c>
      <c r="L32" s="12">
        <f t="shared" si="3"/>
        <v>1514977</v>
      </c>
    </row>
    <row r="33" spans="1:12" x14ac:dyDescent="0.2">
      <c r="A33" s="3" t="s">
        <v>37</v>
      </c>
      <c r="B33" s="3" t="s">
        <v>38</v>
      </c>
      <c r="C33" s="3" t="s">
        <v>42</v>
      </c>
      <c r="D33" s="5">
        <v>4</v>
      </c>
      <c r="E33" s="5">
        <v>2022</v>
      </c>
      <c r="F33" s="10">
        <v>10432</v>
      </c>
      <c r="G33" s="4">
        <v>100</v>
      </c>
      <c r="H33" s="11">
        <f t="shared" si="0"/>
        <v>1043200</v>
      </c>
      <c r="I33" s="10">
        <v>43</v>
      </c>
      <c r="J33" s="4">
        <f t="shared" si="1"/>
        <v>125</v>
      </c>
      <c r="K33" s="11">
        <f t="shared" si="2"/>
        <v>5375</v>
      </c>
      <c r="L33" s="12">
        <f t="shared" si="3"/>
        <v>1048575</v>
      </c>
    </row>
    <row r="34" spans="1:12" x14ac:dyDescent="0.2">
      <c r="A34" s="3" t="s">
        <v>29</v>
      </c>
      <c r="B34" s="3" t="s">
        <v>30</v>
      </c>
      <c r="C34" s="3" t="s">
        <v>31</v>
      </c>
      <c r="D34" s="5">
        <v>10</v>
      </c>
      <c r="E34" s="5">
        <v>2025</v>
      </c>
      <c r="F34" s="10">
        <v>17500</v>
      </c>
      <c r="G34" s="4">
        <v>125</v>
      </c>
      <c r="H34" s="11">
        <f t="shared" si="0"/>
        <v>2187500</v>
      </c>
      <c r="I34" s="10">
        <v>1234</v>
      </c>
      <c r="J34" s="4">
        <f t="shared" si="1"/>
        <v>156</v>
      </c>
      <c r="K34" s="11">
        <f t="shared" si="2"/>
        <v>192504</v>
      </c>
      <c r="L34" s="12">
        <f t="shared" si="3"/>
        <v>2380004</v>
      </c>
    </row>
    <row r="35" spans="1:12" x14ac:dyDescent="0.2">
      <c r="A35" s="3" t="s">
        <v>17</v>
      </c>
      <c r="B35" s="3" t="s">
        <v>26</v>
      </c>
      <c r="C35" s="3" t="s">
        <v>27</v>
      </c>
      <c r="D35" s="5">
        <v>3</v>
      </c>
      <c r="E35" s="5">
        <v>2023</v>
      </c>
      <c r="F35" s="10">
        <v>14000</v>
      </c>
      <c r="G35" s="4">
        <v>95</v>
      </c>
      <c r="H35" s="11">
        <f t="shared" si="0"/>
        <v>1330000</v>
      </c>
      <c r="I35" s="10">
        <v>100</v>
      </c>
      <c r="J35" s="4">
        <f t="shared" si="1"/>
        <v>119</v>
      </c>
      <c r="K35" s="11">
        <f t="shared" si="2"/>
        <v>11900</v>
      </c>
      <c r="L35" s="12">
        <f t="shared" si="3"/>
        <v>1341900</v>
      </c>
    </row>
    <row r="36" spans="1:12" x14ac:dyDescent="0.2">
      <c r="A36" s="3" t="s">
        <v>17</v>
      </c>
      <c r="B36" s="3" t="s">
        <v>18</v>
      </c>
      <c r="C36" s="3" t="s">
        <v>21</v>
      </c>
      <c r="D36" s="5">
        <v>2</v>
      </c>
      <c r="E36" s="5">
        <v>2024</v>
      </c>
      <c r="F36" s="10">
        <v>16735</v>
      </c>
      <c r="G36" s="4">
        <v>75</v>
      </c>
      <c r="H36" s="11">
        <f t="shared" si="0"/>
        <v>1255125</v>
      </c>
      <c r="I36" s="10">
        <v>100</v>
      </c>
      <c r="J36" s="4">
        <f t="shared" si="1"/>
        <v>94</v>
      </c>
      <c r="K36" s="11">
        <f t="shared" si="2"/>
        <v>9400</v>
      </c>
      <c r="L36" s="12">
        <f t="shared" si="3"/>
        <v>1264525</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7E94-5473-4597-AF29-9A87F2FDC412}">
  <dimension ref="A1:G33"/>
  <sheetViews>
    <sheetView workbookViewId="0"/>
  </sheetViews>
  <sheetFormatPr baseColWidth="10" defaultColWidth="8.83203125" defaultRowHeight="15" x14ac:dyDescent="0.2"/>
  <cols>
    <col min="1" max="1" width="16.83203125" customWidth="1"/>
    <col min="2" max="2" width="18.1640625" bestFit="1" customWidth="1"/>
    <col min="3" max="3" width="10.6640625" customWidth="1"/>
    <col min="4" max="4" width="44.33203125" bestFit="1" customWidth="1"/>
    <col min="5" max="5" width="18.33203125" customWidth="1"/>
    <col min="6" max="6" width="12.1640625" customWidth="1"/>
    <col min="7" max="7" width="17.5" customWidth="1"/>
  </cols>
  <sheetData>
    <row r="1" spans="1:7" ht="32" x14ac:dyDescent="0.2">
      <c r="A1" s="7" t="s">
        <v>62</v>
      </c>
      <c r="B1" s="7" t="s">
        <v>0</v>
      </c>
      <c r="C1" s="7" t="s">
        <v>61</v>
      </c>
      <c r="D1" s="7" t="s">
        <v>2</v>
      </c>
      <c r="E1" s="9" t="s">
        <v>53</v>
      </c>
      <c r="F1" s="9" t="s">
        <v>55</v>
      </c>
      <c r="G1" s="9" t="s">
        <v>58</v>
      </c>
    </row>
    <row r="2" spans="1:7" x14ac:dyDescent="0.2">
      <c r="A2" s="3" t="s">
        <v>63</v>
      </c>
      <c r="B2" s="3" t="s">
        <v>17</v>
      </c>
      <c r="C2" s="3">
        <v>104</v>
      </c>
      <c r="D2" s="3" t="s">
        <v>25</v>
      </c>
      <c r="E2" s="14">
        <v>2127500</v>
      </c>
      <c r="F2" s="14">
        <v>36750</v>
      </c>
      <c r="G2" s="15">
        <v>2164250</v>
      </c>
    </row>
    <row r="3" spans="1:7" x14ac:dyDescent="0.2">
      <c r="A3" s="3" t="s">
        <v>64</v>
      </c>
      <c r="B3" s="3" t="s">
        <v>47</v>
      </c>
      <c r="C3" s="3">
        <v>111</v>
      </c>
      <c r="D3" s="3" t="s">
        <v>45</v>
      </c>
      <c r="E3" s="14">
        <v>2531250</v>
      </c>
      <c r="F3" s="14">
        <v>180048</v>
      </c>
      <c r="G3" s="15">
        <v>2711298</v>
      </c>
    </row>
    <row r="4" spans="1:7" x14ac:dyDescent="0.2">
      <c r="A4" s="3" t="s">
        <v>63</v>
      </c>
      <c r="B4" s="3" t="s">
        <v>17</v>
      </c>
      <c r="C4" s="3">
        <v>110</v>
      </c>
      <c r="D4" s="3" t="s">
        <v>23</v>
      </c>
      <c r="E4" s="14">
        <v>3218750</v>
      </c>
      <c r="F4" s="14">
        <v>201142</v>
      </c>
      <c r="G4" s="15">
        <v>3419892</v>
      </c>
    </row>
    <row r="5" spans="1:7" x14ac:dyDescent="0.2">
      <c r="A5" s="3" t="s">
        <v>63</v>
      </c>
      <c r="B5" s="3" t="s">
        <v>17</v>
      </c>
      <c r="C5" s="3">
        <v>105</v>
      </c>
      <c r="D5" s="3" t="s">
        <v>24</v>
      </c>
      <c r="E5" s="14">
        <v>495000</v>
      </c>
      <c r="F5" s="14">
        <v>13338</v>
      </c>
      <c r="G5" s="15">
        <v>508338</v>
      </c>
    </row>
    <row r="6" spans="1:7" x14ac:dyDescent="0.2">
      <c r="A6" s="3" t="s">
        <v>65</v>
      </c>
      <c r="B6" s="3" t="s">
        <v>37</v>
      </c>
      <c r="C6" s="3">
        <v>102</v>
      </c>
      <c r="D6" s="3" t="s">
        <v>39</v>
      </c>
      <c r="E6" s="14">
        <v>457895</v>
      </c>
      <c r="F6" s="14">
        <v>3774</v>
      </c>
      <c r="G6" s="15">
        <v>461669</v>
      </c>
    </row>
    <row r="7" spans="1:7" x14ac:dyDescent="0.2">
      <c r="A7" s="3" t="s">
        <v>66</v>
      </c>
      <c r="B7" s="3" t="s">
        <v>9</v>
      </c>
      <c r="C7" s="3">
        <v>108</v>
      </c>
      <c r="D7" s="3" t="s">
        <v>12</v>
      </c>
      <c r="E7" s="14">
        <v>3740000</v>
      </c>
      <c r="F7" s="14">
        <v>130000</v>
      </c>
      <c r="G7" s="15">
        <v>3870000</v>
      </c>
    </row>
    <row r="8" spans="1:7" x14ac:dyDescent="0.2">
      <c r="A8" s="3" t="s">
        <v>66</v>
      </c>
      <c r="B8" s="3" t="s">
        <v>9</v>
      </c>
      <c r="C8" s="3">
        <v>103</v>
      </c>
      <c r="D8" s="3" t="s">
        <v>14</v>
      </c>
      <c r="E8" s="14">
        <v>659065</v>
      </c>
      <c r="F8" s="14">
        <v>6696</v>
      </c>
      <c r="G8" s="15">
        <v>665761</v>
      </c>
    </row>
    <row r="9" spans="1:7" x14ac:dyDescent="0.2">
      <c r="A9" s="3" t="s">
        <v>65</v>
      </c>
      <c r="B9" s="3" t="s">
        <v>37</v>
      </c>
      <c r="C9" s="3">
        <v>102</v>
      </c>
      <c r="D9" s="3" t="s">
        <v>43</v>
      </c>
      <c r="E9" s="14">
        <v>2625000</v>
      </c>
      <c r="F9" s="14">
        <v>16851</v>
      </c>
      <c r="G9" s="15">
        <v>2641851</v>
      </c>
    </row>
    <row r="10" spans="1:7" x14ac:dyDescent="0.2">
      <c r="A10" s="3" t="s">
        <v>67</v>
      </c>
      <c r="B10" s="3" t="s">
        <v>29</v>
      </c>
      <c r="C10" s="3">
        <v>110</v>
      </c>
      <c r="D10" s="3" t="s">
        <v>36</v>
      </c>
      <c r="E10" s="14">
        <v>1295820</v>
      </c>
      <c r="F10" s="14">
        <v>24804</v>
      </c>
      <c r="G10" s="15">
        <v>1320624</v>
      </c>
    </row>
    <row r="11" spans="1:7" x14ac:dyDescent="0.2">
      <c r="A11" s="3" t="s">
        <v>67</v>
      </c>
      <c r="B11" s="3" t="s">
        <v>29</v>
      </c>
      <c r="C11" s="3">
        <v>105</v>
      </c>
      <c r="D11" s="3" t="s">
        <v>32</v>
      </c>
      <c r="E11" s="14">
        <v>813875</v>
      </c>
      <c r="F11" s="14">
        <v>4773</v>
      </c>
      <c r="G11" s="15">
        <v>818648</v>
      </c>
    </row>
    <row r="12" spans="1:7" x14ac:dyDescent="0.2">
      <c r="A12" s="3" t="s">
        <v>67</v>
      </c>
      <c r="B12" s="3" t="s">
        <v>29</v>
      </c>
      <c r="C12" s="3">
        <v>101</v>
      </c>
      <c r="D12" s="3" t="s">
        <v>54</v>
      </c>
      <c r="E12" s="14">
        <v>1380000</v>
      </c>
      <c r="F12" s="14">
        <v>23250</v>
      </c>
      <c r="G12" s="15">
        <v>1403250</v>
      </c>
    </row>
    <row r="13" spans="1:7" x14ac:dyDescent="0.2">
      <c r="A13" s="3" t="s">
        <v>63</v>
      </c>
      <c r="B13" s="3" t="s">
        <v>17</v>
      </c>
      <c r="C13" s="3">
        <v>101</v>
      </c>
      <c r="D13" s="3" t="s">
        <v>19</v>
      </c>
      <c r="E13" s="14">
        <v>1234500</v>
      </c>
      <c r="F13" s="14">
        <v>31200</v>
      </c>
      <c r="G13" s="15">
        <v>1265700</v>
      </c>
    </row>
    <row r="14" spans="1:7" x14ac:dyDescent="0.2">
      <c r="A14" s="3" t="s">
        <v>63</v>
      </c>
      <c r="B14" s="3" t="s">
        <v>17</v>
      </c>
      <c r="C14" s="3">
        <v>105</v>
      </c>
      <c r="D14" s="3" t="s">
        <v>26</v>
      </c>
      <c r="E14" s="14">
        <v>1804550</v>
      </c>
      <c r="F14" s="14">
        <v>133200</v>
      </c>
      <c r="G14" s="15">
        <v>1937750</v>
      </c>
    </row>
    <row r="15" spans="1:7" x14ac:dyDescent="0.2">
      <c r="A15" s="3" t="s">
        <v>65</v>
      </c>
      <c r="B15" s="3" t="s">
        <v>37</v>
      </c>
      <c r="C15" s="3">
        <v>104</v>
      </c>
      <c r="D15" s="3" t="s">
        <v>44</v>
      </c>
      <c r="E15" s="14">
        <v>3564000</v>
      </c>
      <c r="F15" s="14">
        <v>187187</v>
      </c>
      <c r="G15" s="15">
        <v>3751187</v>
      </c>
    </row>
    <row r="16" spans="1:7" x14ac:dyDescent="0.2">
      <c r="A16" s="3" t="s">
        <v>63</v>
      </c>
      <c r="B16" s="3" t="s">
        <v>17</v>
      </c>
      <c r="C16" s="3">
        <v>107</v>
      </c>
      <c r="D16" s="3" t="s">
        <v>20</v>
      </c>
      <c r="E16" s="14">
        <v>1603125</v>
      </c>
      <c r="F16" s="14">
        <v>211200</v>
      </c>
      <c r="G16" s="15">
        <v>1814325</v>
      </c>
    </row>
    <row r="17" spans="1:7" x14ac:dyDescent="0.2">
      <c r="A17" s="3" t="s">
        <v>66</v>
      </c>
      <c r="B17" s="3" t="s">
        <v>9</v>
      </c>
      <c r="C17" s="3">
        <v>107</v>
      </c>
      <c r="D17" s="3" t="s">
        <v>16</v>
      </c>
      <c r="E17" s="14">
        <v>2017620</v>
      </c>
      <c r="F17" s="14">
        <v>5265</v>
      </c>
      <c r="G17" s="15">
        <v>2022885</v>
      </c>
    </row>
    <row r="18" spans="1:7" x14ac:dyDescent="0.2">
      <c r="A18" s="3" t="s">
        <v>64</v>
      </c>
      <c r="B18" s="3" t="s">
        <v>47</v>
      </c>
      <c r="C18" s="3">
        <v>109</v>
      </c>
      <c r="D18" s="3" t="s">
        <v>52</v>
      </c>
      <c r="E18" s="14">
        <v>452285</v>
      </c>
      <c r="F18" s="14">
        <v>1221</v>
      </c>
      <c r="G18" s="15">
        <v>453506</v>
      </c>
    </row>
    <row r="19" spans="1:7" x14ac:dyDescent="0.2">
      <c r="A19" s="3" t="s">
        <v>67</v>
      </c>
      <c r="B19" s="3" t="s">
        <v>29</v>
      </c>
      <c r="C19" s="3">
        <v>103</v>
      </c>
      <c r="D19" s="3" t="s">
        <v>35</v>
      </c>
      <c r="E19" s="14">
        <v>1404250</v>
      </c>
      <c r="F19" s="14">
        <v>168542</v>
      </c>
      <c r="G19" s="15">
        <v>1572792</v>
      </c>
    </row>
    <row r="20" spans="1:7" x14ac:dyDescent="0.2">
      <c r="A20" s="3" t="s">
        <v>66</v>
      </c>
      <c r="B20" s="3" t="s">
        <v>9</v>
      </c>
      <c r="C20" s="3">
        <v>106</v>
      </c>
      <c r="D20" s="3" t="s">
        <v>15</v>
      </c>
      <c r="E20" s="14">
        <v>2293750</v>
      </c>
      <c r="F20" s="14">
        <v>23146</v>
      </c>
      <c r="G20" s="15">
        <v>2316896</v>
      </c>
    </row>
    <row r="21" spans="1:7" x14ac:dyDescent="0.2">
      <c r="A21" s="3" t="s">
        <v>64</v>
      </c>
      <c r="B21" s="3" t="s">
        <v>47</v>
      </c>
      <c r="C21" s="3">
        <v>110</v>
      </c>
      <c r="D21" s="3" t="s">
        <v>48</v>
      </c>
      <c r="E21" s="14">
        <v>2988045</v>
      </c>
      <c r="F21" s="14">
        <v>127950</v>
      </c>
      <c r="G21" s="15">
        <v>3115995</v>
      </c>
    </row>
    <row r="22" spans="1:7" x14ac:dyDescent="0.2">
      <c r="A22" s="3" t="s">
        <v>63</v>
      </c>
      <c r="B22" s="3" t="s">
        <v>17</v>
      </c>
      <c r="C22" s="3">
        <v>108</v>
      </c>
      <c r="D22" s="3" t="s">
        <v>28</v>
      </c>
      <c r="E22" s="14">
        <v>614550</v>
      </c>
      <c r="F22" s="14">
        <v>12765</v>
      </c>
      <c r="G22" s="15">
        <v>627315</v>
      </c>
    </row>
    <row r="23" spans="1:7" x14ac:dyDescent="0.2">
      <c r="A23" s="3" t="s">
        <v>65</v>
      </c>
      <c r="B23" s="3" t="s">
        <v>37</v>
      </c>
      <c r="C23" s="3">
        <v>101</v>
      </c>
      <c r="D23" s="3" t="s">
        <v>40</v>
      </c>
      <c r="E23" s="14">
        <v>604800</v>
      </c>
      <c r="F23" s="14">
        <v>7176</v>
      </c>
      <c r="G23" s="15">
        <v>611976</v>
      </c>
    </row>
    <row r="24" spans="1:7" x14ac:dyDescent="0.2">
      <c r="A24" s="3" t="s">
        <v>64</v>
      </c>
      <c r="B24" s="3" t="s">
        <v>47</v>
      </c>
      <c r="C24" s="3">
        <v>108</v>
      </c>
      <c r="D24" s="3" t="s">
        <v>46</v>
      </c>
      <c r="E24" s="14">
        <v>1162650</v>
      </c>
      <c r="F24" s="14">
        <v>7154</v>
      </c>
      <c r="G24" s="15">
        <v>1169804</v>
      </c>
    </row>
    <row r="25" spans="1:7" x14ac:dyDescent="0.2">
      <c r="A25" s="3" t="s">
        <v>67</v>
      </c>
      <c r="B25" s="3" t="s">
        <v>29</v>
      </c>
      <c r="C25" s="3">
        <v>109</v>
      </c>
      <c r="D25" s="3" t="s">
        <v>34</v>
      </c>
      <c r="E25" s="14">
        <v>405000</v>
      </c>
      <c r="F25" s="14">
        <v>16614</v>
      </c>
      <c r="G25" s="15">
        <v>421614</v>
      </c>
    </row>
    <row r="26" spans="1:7" x14ac:dyDescent="0.2">
      <c r="A26" s="3" t="s">
        <v>64</v>
      </c>
      <c r="B26" s="3" t="s">
        <v>47</v>
      </c>
      <c r="C26" s="3">
        <v>103</v>
      </c>
      <c r="D26" s="3" t="s">
        <v>47</v>
      </c>
      <c r="E26" s="14">
        <v>1822065</v>
      </c>
      <c r="F26" s="14">
        <v>89050</v>
      </c>
      <c r="G26" s="15">
        <v>1911115</v>
      </c>
    </row>
    <row r="27" spans="1:7" x14ac:dyDescent="0.2">
      <c r="A27" s="3" t="s">
        <v>66</v>
      </c>
      <c r="B27" s="3" t="s">
        <v>9</v>
      </c>
      <c r="C27" s="3">
        <v>101</v>
      </c>
      <c r="D27" s="3" t="s">
        <v>13</v>
      </c>
      <c r="E27" s="14">
        <v>3051685</v>
      </c>
      <c r="F27" s="14">
        <v>294500</v>
      </c>
      <c r="G27" s="15">
        <v>3346185</v>
      </c>
    </row>
    <row r="28" spans="1:7" x14ac:dyDescent="0.2">
      <c r="A28" s="3" t="s">
        <v>64</v>
      </c>
      <c r="B28" s="3" t="s">
        <v>47</v>
      </c>
      <c r="C28" s="3">
        <v>111</v>
      </c>
      <c r="D28" s="3" t="s">
        <v>50</v>
      </c>
      <c r="E28" s="14">
        <v>2368750</v>
      </c>
      <c r="F28" s="14">
        <v>269602</v>
      </c>
      <c r="G28" s="15">
        <v>2638352</v>
      </c>
    </row>
    <row r="29" spans="1:7" x14ac:dyDescent="0.2">
      <c r="A29" s="3" t="s">
        <v>64</v>
      </c>
      <c r="B29" s="3" t="s">
        <v>47</v>
      </c>
      <c r="C29" s="3">
        <v>112</v>
      </c>
      <c r="D29" s="3" t="s">
        <v>51</v>
      </c>
      <c r="E29" s="14">
        <v>1497960</v>
      </c>
      <c r="F29" s="14">
        <v>17732</v>
      </c>
      <c r="G29" s="15">
        <v>1515692</v>
      </c>
    </row>
    <row r="30" spans="1:7" x14ac:dyDescent="0.2">
      <c r="A30" s="3" t="s">
        <v>65</v>
      </c>
      <c r="B30" s="3" t="s">
        <v>37</v>
      </c>
      <c r="C30" s="3">
        <v>104</v>
      </c>
      <c r="D30" s="3" t="s">
        <v>42</v>
      </c>
      <c r="E30" s="14">
        <v>1043200</v>
      </c>
      <c r="F30" s="14">
        <v>5590</v>
      </c>
      <c r="G30" s="15">
        <v>1048790</v>
      </c>
    </row>
    <row r="31" spans="1:7" x14ac:dyDescent="0.2">
      <c r="A31" s="3" t="s">
        <v>67</v>
      </c>
      <c r="B31" s="3" t="s">
        <v>29</v>
      </c>
      <c r="C31" s="3">
        <v>106</v>
      </c>
      <c r="D31" s="3" t="s">
        <v>31</v>
      </c>
      <c r="E31" s="14">
        <v>2187500</v>
      </c>
      <c r="F31" s="14">
        <v>201142</v>
      </c>
      <c r="G31" s="15">
        <v>2388642</v>
      </c>
    </row>
    <row r="32" spans="1:7" x14ac:dyDescent="0.2">
      <c r="A32" s="3" t="s">
        <v>63</v>
      </c>
      <c r="B32" s="3" t="s">
        <v>17</v>
      </c>
      <c r="C32" s="3">
        <v>112</v>
      </c>
      <c r="D32" s="3" t="s">
        <v>27</v>
      </c>
      <c r="E32" s="14">
        <v>1330000</v>
      </c>
      <c r="F32" s="14">
        <v>12400</v>
      </c>
      <c r="G32" s="15">
        <v>1342400</v>
      </c>
    </row>
    <row r="33" spans="1:7" x14ac:dyDescent="0.2">
      <c r="A33" s="3" t="s">
        <v>63</v>
      </c>
      <c r="B33" s="3" t="s">
        <v>17</v>
      </c>
      <c r="C33" s="3">
        <v>105</v>
      </c>
      <c r="D33" s="3" t="s">
        <v>21</v>
      </c>
      <c r="E33" s="14">
        <v>1255125</v>
      </c>
      <c r="F33" s="14">
        <v>9800</v>
      </c>
      <c r="G33" s="15">
        <v>1264925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4C5F-479D-4010-ACBD-2F161652D4ED}">
  <dimension ref="A1:B6"/>
  <sheetViews>
    <sheetView workbookViewId="0"/>
  </sheetViews>
  <sheetFormatPr baseColWidth="10" defaultColWidth="8.83203125" defaultRowHeight="15" x14ac:dyDescent="0.2"/>
  <cols>
    <col min="1" max="1" width="11.6640625" customWidth="1"/>
    <col min="2" max="2" width="18.1640625" bestFit="1" customWidth="1"/>
  </cols>
  <sheetData>
    <row r="1" spans="1:2" x14ac:dyDescent="0.2">
      <c r="A1" s="13" t="s">
        <v>68</v>
      </c>
      <c r="B1" s="13" t="s">
        <v>0</v>
      </c>
    </row>
    <row r="2" spans="1:2" x14ac:dyDescent="0.2">
      <c r="A2" s="3" t="s">
        <v>65</v>
      </c>
      <c r="B2" s="3" t="s">
        <v>37</v>
      </c>
    </row>
    <row r="3" spans="1:2" x14ac:dyDescent="0.2">
      <c r="A3" s="3" t="s">
        <v>67</v>
      </c>
      <c r="B3" s="3" t="s">
        <v>29</v>
      </c>
    </row>
    <row r="4" spans="1:2" x14ac:dyDescent="0.2">
      <c r="A4" s="3" t="s">
        <v>66</v>
      </c>
      <c r="B4" s="3" t="s">
        <v>9</v>
      </c>
    </row>
    <row r="5" spans="1:2" x14ac:dyDescent="0.2">
      <c r="A5" s="3" t="s">
        <v>63</v>
      </c>
      <c r="B5" s="3" t="s">
        <v>17</v>
      </c>
    </row>
    <row r="6" spans="1:2" x14ac:dyDescent="0.2">
      <c r="A6" s="3" t="s">
        <v>64</v>
      </c>
      <c r="B6" s="3" t="s">
        <v>47</v>
      </c>
    </row>
  </sheetData>
  <pageMargins left="0.7" right="0.7" top="0.75" bottom="0.75" header="0.3" footer="0.3"/>
  <pageSetup orientation="portrait" horizontalDpi="200" verticalDpi="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21F9-24AD-4390-901C-5144D3FE38A1}">
  <dimension ref="A1:C13"/>
  <sheetViews>
    <sheetView workbookViewId="0"/>
  </sheetViews>
  <sheetFormatPr baseColWidth="10" defaultColWidth="8.83203125" defaultRowHeight="15" x14ac:dyDescent="0.2"/>
  <cols>
    <col min="1" max="1" width="10.6640625" style="1" customWidth="1"/>
    <col min="2" max="2" width="12.33203125" customWidth="1"/>
    <col min="3" max="3" width="12.6640625" customWidth="1"/>
  </cols>
  <sheetData>
    <row r="1" spans="1:3" x14ac:dyDescent="0.2">
      <c r="A1" s="16" t="s">
        <v>61</v>
      </c>
      <c r="B1" s="13" t="s">
        <v>69</v>
      </c>
      <c r="C1" s="13" t="s">
        <v>70</v>
      </c>
    </row>
    <row r="2" spans="1:3" x14ac:dyDescent="0.2">
      <c r="A2" s="5">
        <v>101</v>
      </c>
      <c r="B2" s="3" t="s">
        <v>71</v>
      </c>
      <c r="C2" s="3" t="s">
        <v>72</v>
      </c>
    </row>
    <row r="3" spans="1:3" x14ac:dyDescent="0.2">
      <c r="A3" s="5">
        <v>102</v>
      </c>
      <c r="B3" s="3" t="s">
        <v>73</v>
      </c>
      <c r="C3" s="3" t="s">
        <v>74</v>
      </c>
    </row>
    <row r="4" spans="1:3" x14ac:dyDescent="0.2">
      <c r="A4" s="5">
        <v>103</v>
      </c>
      <c r="B4" s="3" t="s">
        <v>75</v>
      </c>
      <c r="C4" s="3" t="s">
        <v>76</v>
      </c>
    </row>
    <row r="5" spans="1:3" x14ac:dyDescent="0.2">
      <c r="A5" s="5">
        <v>104</v>
      </c>
      <c r="B5" s="3" t="s">
        <v>77</v>
      </c>
      <c r="C5" s="3" t="s">
        <v>78</v>
      </c>
    </row>
    <row r="6" spans="1:3" x14ac:dyDescent="0.2">
      <c r="A6" s="5">
        <v>105</v>
      </c>
      <c r="B6" s="3" t="s">
        <v>79</v>
      </c>
      <c r="C6" s="3" t="s">
        <v>80</v>
      </c>
    </row>
    <row r="7" spans="1:3" x14ac:dyDescent="0.2">
      <c r="A7" s="5">
        <v>106</v>
      </c>
      <c r="B7" s="3" t="s">
        <v>81</v>
      </c>
      <c r="C7" s="3" t="s">
        <v>82</v>
      </c>
    </row>
    <row r="8" spans="1:3" x14ac:dyDescent="0.2">
      <c r="A8" s="5">
        <v>107</v>
      </c>
      <c r="B8" s="3" t="s">
        <v>83</v>
      </c>
      <c r="C8" s="3" t="s">
        <v>84</v>
      </c>
    </row>
    <row r="9" spans="1:3" x14ac:dyDescent="0.2">
      <c r="A9" s="5">
        <v>108</v>
      </c>
      <c r="B9" s="3" t="s">
        <v>85</v>
      </c>
      <c r="C9" s="3" t="s">
        <v>86</v>
      </c>
    </row>
    <row r="10" spans="1:3" x14ac:dyDescent="0.2">
      <c r="A10" s="5">
        <v>109</v>
      </c>
      <c r="B10" s="3" t="s">
        <v>87</v>
      </c>
      <c r="C10" s="3" t="s">
        <v>88</v>
      </c>
    </row>
    <row r="11" spans="1:3" x14ac:dyDescent="0.2">
      <c r="A11" s="5">
        <v>110</v>
      </c>
      <c r="B11" s="3" t="s">
        <v>89</v>
      </c>
      <c r="C11" s="3" t="s">
        <v>90</v>
      </c>
    </row>
    <row r="12" spans="1:3" x14ac:dyDescent="0.2">
      <c r="A12" s="5">
        <v>111</v>
      </c>
      <c r="B12" s="3" t="s">
        <v>91</v>
      </c>
      <c r="C12" s="3" t="s">
        <v>92</v>
      </c>
    </row>
    <row r="13" spans="1:3" x14ac:dyDescent="0.2">
      <c r="A13" s="5">
        <v>112</v>
      </c>
      <c r="B13" s="3" t="s">
        <v>93</v>
      </c>
      <c r="C13" s="3" t="s">
        <v>94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roject>
  <id>2w4yptxCZpnFS23aaT+AxZ7fHRKRuEbGVHxR/0x3Ues06fq0MMebLy7DnN0CPxqQiuKmKrD8Eoiun+1//FHrRFADpiJLpDjy-~upFywmIBmX+2ZToGOUndIA==#@#13115802#@#4/24/2021 10:01:54 PM</id>
</project>
</file>

<file path=customXml/item2.xml><?xml version="1.0" encoding="utf-8"?>
<outs:outSpaceData xmlns:outs="http://schemas.microsoft.com/office/2009/outspace/metadata">
  <outs:relatedDates>
    <outs:relatedDate>
      <outs:type>3</outs:type>
      <outs:displayName>Last Modified</outs:displayName>
      <outs:dateTime>2009-06-23T05:14:59Z</outs:dateTime>
      <outs:isPinned>true</outs:isPinned>
    </outs:relatedDate>
    <outs:relatedDate>
      <outs:type>2</outs:type>
      <outs:displayName>Created</outs:displayName>
      <outs:dateTime>2009-06-19T20:04:57Z</outs:dateTime>
      <outs:isPinned>true</outs:isPinned>
    </outs:relatedDate>
    <outs:relatedDate>
      <outs:type>4</outs:type>
      <outs:displayName>Last Printed</outs:displayName>
      <outs:dateTime/>
      <outs:isPinned>true</outs:isPinned>
    </outs:relatedDate>
  </outs:relatedDates>
  <outs:relatedDocuments>
    <outs:relatedDocument>
      <outs:type>2</outs:type>
      <outs:displayName>Other documents in current folder</outs:displayName>
      <outs:uri/>
      <outs:isPinned>true</outs:isPinned>
    </outs:relatedDocument>
  </outs:relatedDocuments>
  <outs:relatedPeople>
    <outs:relatedPeopleItem>
      <outs:category>Author</outs:category>
      <outs:people>
        <outs:relatedPerson>
          <outs:displayName>Exploring Series</outs:displayName>
          <outs:accountName/>
        </outs:relatedPerson>
      </outs:people>
      <outs:source>0</outs:source>
      <outs:isPinned>true</outs:isPinned>
    </outs:relatedPeopleItem>
    <outs:relatedPeopleItem>
      <outs:category>Last modified by</outs:category>
      <outs:people>
        <outs:relatedPerson>
          <outs:displayName>Keith Mulbery</outs:displayName>
          <outs:accountName/>
        </outs:relatedPerson>
      </outs:people>
      <outs:source>0</outs:source>
      <outs:isPinned>true</outs:isPinned>
    </outs:relatedPeopleItem>
    <outs:relatedPeopleItem>
      <outs:category>Manager</outs:category>
      <outs:people/>
      <outs:source>0</outs:source>
      <outs:isPinned>false</outs:isPinned>
    </outs:relatedPeopleItem>
  </outs:relatedPeople>
  <propertyMetadataList xmlns="http://schemas.microsoft.com/office/2009/outspace/metadata">
    <propertyMetadata>
      <type>0</type>
      <propertyId>2228224</propertyId>
      <propertyName/>
      <isPinned>true</isPinned>
    </propertyMetadata>
    <propertyMetadata>
      <type>0</type>
      <propertyId>14</propertyId>
      <propertyName/>
      <isPinned>true</isPinned>
    </propertyMetadata>
    <propertyMetadata>
      <type>0</type>
      <propertyId>8</propertyId>
      <propertyName/>
      <isPinned>true</isPinned>
    </propertyMetadata>
    <propertyMetadata>
      <type>0</type>
      <propertyId>6</propertyId>
      <propertyName/>
      <isPinned>false</isPinned>
    </propertyMetadata>
    <propertyMetadata>
      <type>0</type>
      <propertyId>655365</propertyId>
      <propertyName/>
      <isPinned>false</isPinned>
    </propertyMetadata>
    <propertyMetadata>
      <type>0</type>
      <propertyId>1</propertyId>
      <propertyName/>
      <isPinned>false</isPinned>
    </propertyMetadata>
    <propertyMetadata>
      <type>0</type>
      <propertyId>0</propertyId>
      <propertyName/>
      <isPinned>true</isPinned>
    </propertyMetadata>
    <propertyMetadata>
      <type>0</type>
      <propertyId>13</propertyId>
      <propertyName/>
      <isPinned>false</isPinned>
    </propertyMetadata>
    <propertyMetadata>
      <type>0</type>
      <propertyId>1179653</propertyId>
      <propertyName/>
      <isPinned>false</isPinned>
    </propertyMetadata>
    <propertyMetadata>
      <type>0</type>
      <propertyId>22</propertyId>
      <propertyName/>
      <isPinned>false</isPinned>
    </propertyMetadata>
  </propertyMetadataList>
  <outs:corruptMetadataWasLost/>
</outs:outSpaceData>
</file>

<file path=customXml/itemProps1.xml><?xml version="1.0" encoding="utf-8"?>
<ds:datastoreItem xmlns:ds="http://schemas.openxmlformats.org/officeDocument/2006/customXml" ds:itemID="{6CB5E66D-FF2F-DE49-A521-5E6BA7574A44}">
  <ds:schemaRefs/>
</ds:datastoreItem>
</file>

<file path=customXml/itemProps2.xml><?xml version="1.0" encoding="utf-8"?>
<ds:datastoreItem xmlns:ds="http://schemas.openxmlformats.org/officeDocument/2006/customXml" ds:itemID="{2D18F4E5-4C9C-4EF7-A35F-C195587152F5}">
  <ds:schemaRefs>
    <ds:schemaRef ds:uri="http://schemas.microsoft.com/office/2009/outspace/metadat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Books Subtotal</vt:lpstr>
      <vt:lpstr>PivotTable</vt:lpstr>
      <vt:lpstr>Books Data</vt:lpstr>
      <vt:lpstr>Books</vt:lpstr>
      <vt:lpstr>Disciplines</vt:lpstr>
      <vt:lpstr>Editors</vt:lpstr>
      <vt:lpstr>'Books Subtotal'!RetailRate</vt:lpstr>
      <vt:lpstr>RetailRate</vt:lpstr>
      <vt:lpstr>'Books Subtotal'!RoyaltyRate</vt:lpstr>
      <vt:lpstr>RoyaltyRate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Exploring Series</dc:creator>
  <cp:lastModifiedBy>Shubham Khapra</cp:lastModifiedBy>
  <dcterms:created xsi:type="dcterms:W3CDTF">2009-06-19T20:04:57Z</dcterms:created>
  <dcterms:modified xsi:type="dcterms:W3CDTF">2026-02-12T17:41:04Z</dcterms:modified>
</cp:coreProperties>
</file>